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edictions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Legend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FFFFFF"/>
      <sz val="9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sz val="9"/>
    </font>
    <font>
      <name val="Arial"/>
      <color rgb="FF006100"/>
      <sz val="9"/>
    </font>
    <font>
      <name val="Arial"/>
      <color rgb="FF006100"/>
      <sz val="9"/>
    </font>
    <font>
      <name val="Arial"/>
      <color rgb="0000610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2E4057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0" fontId="1" fillId="4" borderId="1" applyAlignment="1" pivotButton="0" quotePrefix="0" xfId="0">
      <alignment horizontal="center" wrapText="1"/>
    </xf>
    <xf numFmtId="0" fontId="1" fillId="5" borderId="0" applyAlignment="1" pivotButton="0" quotePrefix="0" xfId="0">
      <alignment horizontal="center"/>
    </xf>
    <xf numFmtId="0" fontId="2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6" borderId="1" pivotButton="0" quotePrefix="0" xfId="0"/>
    <xf numFmtId="0" fontId="8" fillId="7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49" fontId="1" fillId="3" borderId="1" applyAlignment="1" pivotButton="0" quotePrefix="0" xfId="0">
      <alignment horizontal="center" wrapText="1"/>
    </xf>
    <xf numFmtId="49" fontId="0" fillId="6" borderId="1" pivotButton="0" quotePrefix="0" xfId="0"/>
    <xf numFmtId="49" fontId="0" fillId="0" borderId="0" pivotButton="0" quotePrefix="0" xfId="0"/>
    <xf numFmtId="0" fontId="0" fillId="8" borderId="2" pivotButton="0" quotePrefix="0" xfId="0"/>
    <xf numFmtId="0" fontId="9" fillId="9" borderId="2" applyAlignment="1" pivotButton="0" quotePrefix="0" xfId="0">
      <alignment horizontal="center"/>
    </xf>
    <xf numFmtId="0" fontId="0" fillId="8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49" fontId="0" fillId="8" borderId="2" pivotButton="0" quotePrefix="0" xfId="0"/>
    <xf numFmtId="0" fontId="7" fillId="0" borderId="3" applyAlignment="1" pivotButton="0" quotePrefix="0" xfId="0">
      <alignment horizontal="center"/>
    </xf>
    <xf numFmtId="0" fontId="0" fillId="10" borderId="3" pivotButton="0" quotePrefix="0" xfId="0"/>
    <xf numFmtId="0" fontId="10" fillId="11" borderId="3" applyAlignment="1" pivotButton="0" quotePrefix="0" xfId="0">
      <alignment horizontal="center"/>
    </xf>
    <xf numFmtId="0" fontId="0" fillId="1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7"/>
  <sheetViews>
    <sheetView tabSelected="1" workbookViewId="0">
      <pane xSplit="4" ySplit="1" topLeftCell="BK2" activePane="bottomRight" state="frozen"/>
      <selection pane="topRight" activeCell="A1" sqref="A1"/>
      <selection pane="bottomLeft" activeCell="A1" sqref="A1"/>
      <selection pane="bottomRight" activeCell="BL15" sqref="BL15"/>
    </sheetView>
  </sheetViews>
  <sheetFormatPr baseColWidth="8" defaultRowHeight="14.5"/>
  <cols>
    <col width="6" customWidth="1" min="1" max="1"/>
    <col width="5" customWidth="1" min="2" max="2"/>
    <col width="10.453125" bestFit="1" customWidth="1" min="3" max="3"/>
    <col width="10.54296875" bestFit="1" customWidth="1" min="4" max="4"/>
    <col width="8.26953125" bestFit="1" customWidth="1" min="5" max="5"/>
    <col width="8" bestFit="1" customWidth="1" min="6" max="6"/>
    <col width="7.453125" bestFit="1" customWidth="1" min="7" max="7"/>
    <col width="8.36328125" bestFit="1" customWidth="1" min="8" max="8"/>
    <col width="5.54296875" bestFit="1" customWidth="1" min="9" max="9"/>
    <col width="6.453125" bestFit="1" customWidth="1" min="10" max="10"/>
    <col width="5.36328125" bestFit="1" customWidth="1" min="11" max="11"/>
    <col width="9" bestFit="1" customWidth="1" min="12" max="12"/>
    <col width="9.90625" bestFit="1" customWidth="1" min="13" max="13"/>
    <col width="9" bestFit="1" customWidth="1" min="14" max="15"/>
    <col width="5.453125" bestFit="1" customWidth="1" min="16" max="16"/>
    <col width="9.26953125" bestFit="1" customWidth="1" min="17" max="17"/>
    <col width="10.1796875" bestFit="1" customWidth="1" min="18" max="18"/>
    <col width="6.54296875" bestFit="1" customWidth="1" min="19" max="19"/>
    <col width="8.1796875" bestFit="1" customWidth="1" min="20" max="20"/>
    <col width="9.08984375" bestFit="1" customWidth="1" min="21" max="21"/>
    <col width="13" customWidth="1" min="22" max="22"/>
    <col width="13.26953125" bestFit="1" customWidth="1" min="23" max="23"/>
    <col width="9.7265625" bestFit="1" customWidth="1" min="24" max="24"/>
    <col width="8.81640625" bestFit="1" customWidth="1" min="25" max="26"/>
    <col width="10.7265625" bestFit="1" customWidth="1" min="27" max="29"/>
    <col width="9" bestFit="1" customWidth="1" min="30" max="30"/>
    <col width="10.90625" bestFit="1" customWidth="1" min="31" max="31"/>
    <col width="10.26953125" bestFit="1" customWidth="1" min="32" max="32"/>
    <col width="6.453125" bestFit="1" customWidth="1" min="33" max="33"/>
    <col width="5.36328125" bestFit="1" customWidth="1" min="34" max="34"/>
    <col width="9.81640625" bestFit="1" customWidth="1" min="35" max="35"/>
    <col width="12.6328125" bestFit="1" customWidth="1" min="36" max="36"/>
    <col width="16" customWidth="1" min="37" max="37"/>
    <col width="9.54296875" bestFit="1" customWidth="1" min="38" max="38"/>
    <col width="8.1796875" bestFit="1" customWidth="1" min="39" max="40"/>
    <col width="9.81640625" bestFit="1" customWidth="1" min="41" max="42"/>
    <col width="15.7265625" bestFit="1" customWidth="1" min="43" max="43"/>
    <col width="15.453125" bestFit="1" customWidth="1" min="44" max="44"/>
    <col width="12.6328125" bestFit="1" customWidth="1" style="16" min="45" max="45"/>
    <col width="10.90625" bestFit="1" customWidth="1" min="46" max="46"/>
    <col width="14" customWidth="1" min="47" max="48"/>
    <col width="14" customWidth="1" style="16" min="49" max="49"/>
    <col width="14" customWidth="1" min="50" max="67"/>
  </cols>
  <sheetData>
    <row r="1" ht="36" customHeight="1">
      <c r="A1" s="1" t="inlineStr">
        <is>
          <t>ID</t>
        </is>
      </c>
      <c r="B1" s="1" t="inlineStr">
        <is>
          <t>Date</t>
        </is>
      </c>
      <c r="C1" s="1" t="inlineStr">
        <is>
          <t>Home Team</t>
        </is>
      </c>
      <c r="D1" s="1" t="inlineStr">
        <is>
          <t>Away Team</t>
        </is>
      </c>
      <c r="E1" s="1" t="inlineStr">
        <is>
          <t>Home xG</t>
        </is>
      </c>
      <c r="F1" s="1" t="inlineStr">
        <is>
          <t>Away xG</t>
        </is>
      </c>
      <c r="G1" s="1" t="inlineStr">
        <is>
          <t>Total xG</t>
        </is>
      </c>
      <c r="H1" s="1" t="inlineStr">
        <is>
          <t>Pred 1X2</t>
        </is>
      </c>
      <c r="I1" s="1" t="inlineStr">
        <is>
          <t>Home Win%</t>
        </is>
      </c>
      <c r="J1" s="1" t="inlineStr">
        <is>
          <t>Draw%</t>
        </is>
      </c>
      <c r="K1" s="1" t="inlineStr">
        <is>
          <t>Away Win%</t>
        </is>
      </c>
      <c r="L1" s="1" t="inlineStr">
        <is>
          <t>Over 2.5%</t>
        </is>
      </c>
      <c r="M1" s="1" t="inlineStr">
        <is>
          <t>Under 2.5%</t>
        </is>
      </c>
      <c r="N1" s="1" t="inlineStr">
        <is>
          <t>Over 1.5%</t>
        </is>
      </c>
      <c r="O1" s="1" t="inlineStr">
        <is>
          <t>Over 3.5%</t>
        </is>
      </c>
      <c r="P1" s="1" t="inlineStr">
        <is>
          <t>BTTS Yes%</t>
        </is>
      </c>
      <c r="Q1" s="1" t="inlineStr">
        <is>
          <t>BTTS No%</t>
        </is>
      </c>
      <c r="R1" s="1" t="inlineStr">
        <is>
          <t>Top Correct Score</t>
        </is>
      </c>
      <c r="S1" s="1" t="inlineStr">
        <is>
          <t>Top CS Prob%</t>
        </is>
      </c>
      <c r="T1" s="1" t="inlineStr">
        <is>
          <t>HT Home Win%</t>
        </is>
      </c>
      <c r="U1" s="1" t="inlineStr">
        <is>
          <t>HT Draw%</t>
        </is>
      </c>
      <c r="V1" s="1" t="inlineStr">
        <is>
          <t>HT Away Win%</t>
        </is>
      </c>
      <c r="W1" s="1" t="inlineStr">
        <is>
          <t>Half Most Goals</t>
        </is>
      </c>
      <c r="X1" s="1" t="inlineStr">
        <is>
          <t>HT/FT Most Likely</t>
        </is>
      </c>
      <c r="Y1" s="1" t="inlineStr">
        <is>
          <t>Win To Nil Home%</t>
        </is>
      </c>
      <c r="Z1" s="1" t="inlineStr">
        <is>
          <t>Win To Nil Away%</t>
        </is>
      </c>
      <c r="AA1" s="1" t="inlineStr">
        <is>
          <t>Draw No Bet Home%</t>
        </is>
      </c>
      <c r="AB1" s="1" t="inlineStr">
        <is>
          <t>Draw No Bet Away%</t>
        </is>
      </c>
      <c r="AC1" s="1" t="inlineStr">
        <is>
          <t>Exp Corners Total</t>
        </is>
      </c>
      <c r="AD1" s="1" t="inlineStr">
        <is>
          <t>Exp Cards Total</t>
        </is>
      </c>
      <c r="AE1" s="1" t="inlineStr">
        <is>
          <t>Exp Booking Pts</t>
        </is>
      </c>
      <c r="AF1" s="1" t="inlineStr">
        <is>
          <t>Best Market</t>
        </is>
      </c>
      <c r="AG1" s="1" t="inlineStr">
        <is>
          <t>Edge%</t>
        </is>
      </c>
      <c r="AH1" s="1" t="inlineStr">
        <is>
          <t>EV</t>
        </is>
      </c>
      <c r="AI1" s="1" t="inlineStr">
        <is>
          <t>Kelly Stake (RWF)</t>
        </is>
      </c>
      <c r="AJ1" s="1" t="inlineStr">
        <is>
          <t>Bankroll (RWF)</t>
        </is>
      </c>
      <c r="AK1" s="1" t="inlineStr">
        <is>
          <t>Odds Entered</t>
        </is>
      </c>
      <c r="AL1" s="1" t="inlineStr">
        <is>
          <t>H2H Factor</t>
        </is>
      </c>
      <c r="AM1" s="1" t="inlineStr">
        <is>
          <t>Inj Factor Home</t>
        </is>
      </c>
      <c r="AN1" s="1" t="inlineStr">
        <is>
          <t>Inj Factor Away</t>
        </is>
      </c>
      <c r="AO1" s="1" t="inlineStr">
        <is>
          <t>Momentum Home</t>
        </is>
      </c>
      <c r="AP1" s="1" t="inlineStr">
        <is>
          <t>Momentum Away</t>
        </is>
      </c>
      <c r="AQ1" s="1" t="inlineStr">
        <is>
          <t>Injury Notes Home</t>
        </is>
      </c>
      <c r="AR1" s="1" t="inlineStr">
        <is>
          <t>Injury Notes Away</t>
        </is>
      </c>
      <c r="AS1" s="14" t="inlineStr">
        <is>
          <t>ACTUAL Score</t>
        </is>
      </c>
      <c r="AT1" s="2" t="inlineStr">
        <is>
          <t>ACTUAL 1X2 (H/D/A)</t>
        </is>
      </c>
      <c r="AU1" s="2" t="inlineStr">
        <is>
          <t>ACTUAL Goals</t>
        </is>
      </c>
      <c r="AV1" s="2" t="inlineStr">
        <is>
          <t>ACTUAL BTTS (Y/N)</t>
        </is>
      </c>
      <c r="AW1" s="14" t="inlineStr">
        <is>
          <t>ACTUAL HT Score</t>
        </is>
      </c>
      <c r="AX1" s="2" t="inlineStr">
        <is>
          <t>ACTUAL Corners</t>
        </is>
      </c>
      <c r="AY1" s="2" t="inlineStr">
        <is>
          <t>ACTUAL Cards</t>
        </is>
      </c>
      <c r="AZ1" s="2" t="inlineStr">
        <is>
          <t>Bet Placed? (Y/N)</t>
        </is>
      </c>
      <c r="BA1" s="2" t="inlineStr">
        <is>
          <t>Market Bet On</t>
        </is>
      </c>
      <c r="BB1" s="2" t="inlineStr">
        <is>
          <t>Stake Placed (RWF)</t>
        </is>
      </c>
      <c r="BC1" s="2" t="inlineStr">
        <is>
          <t>Odds Taken</t>
        </is>
      </c>
      <c r="BD1" s="2" t="inlineStr">
        <is>
          <t>Result (W/L/P)</t>
        </is>
      </c>
      <c r="BE1" s="2" t="inlineStr">
        <is>
          <t>Profit/Loss (RWF)</t>
        </is>
      </c>
      <c r="BF1" s="3" t="inlineStr">
        <is>
          <t>1X2 Correct?</t>
        </is>
      </c>
      <c r="BG1" s="3" t="inlineStr">
        <is>
          <t>O/U 2.5 Correct?</t>
        </is>
      </c>
      <c r="BH1" s="3" t="inlineStr">
        <is>
          <t>BTTS Correct?</t>
        </is>
      </c>
      <c r="BI1" s="3" t="inlineStr">
        <is>
          <t>Corners Correct?</t>
        </is>
      </c>
      <c r="BJ1" s="3" t="inlineStr">
        <is>
          <t>Cards Correct?</t>
        </is>
      </c>
      <c r="BK1" s="3" t="inlineStr">
        <is>
          <t>Closing Odds (fill after)</t>
        </is>
      </c>
      <c r="BL1" s="3" t="inlineStr">
        <is>
          <t>CLV (Closing Line Value)</t>
        </is>
      </c>
      <c r="BM1" s="3" t="inlineStr">
        <is>
          <t>Bankroll After (RWF)</t>
        </is>
      </c>
      <c r="BN1" s="3" t="inlineStr">
        <is>
          <t>Running ROI%</t>
        </is>
      </c>
    </row>
    <row r="2">
      <c r="A2" s="13" t="n">
        <v>1</v>
      </c>
      <c r="B2" s="13" t="inlineStr">
        <is>
          <t>2026-04-12 17:44</t>
        </is>
      </c>
      <c r="C2" s="13" t="inlineStr">
        <is>
          <t>Liverpool</t>
        </is>
      </c>
      <c r="D2" s="13" t="inlineStr">
        <is>
          <t>Bournemouth</t>
        </is>
      </c>
      <c r="E2" s="13" t="n">
        <v>2.25</v>
      </c>
      <c r="F2" s="13" t="n">
        <v>1.82</v>
      </c>
      <c r="G2" s="13" t="n">
        <v>4.07</v>
      </c>
      <c r="H2" s="13" t="inlineStr">
        <is>
          <t>Home Win</t>
        </is>
      </c>
      <c r="I2" s="13" t="n">
        <v>48.1</v>
      </c>
      <c r="J2" s="13" t="n">
        <v>19.7</v>
      </c>
      <c r="K2" s="13" t="n">
        <v>32.2</v>
      </c>
      <c r="L2" s="13" t="n">
        <v>77.2</v>
      </c>
      <c r="M2" s="13" t="n">
        <v>22.8</v>
      </c>
      <c r="N2" s="13" t="n">
        <v>91</v>
      </c>
      <c r="O2" s="13" t="n">
        <v>58.7</v>
      </c>
      <c r="P2" s="13" t="n">
        <v>74.5</v>
      </c>
      <c r="Q2" s="13" t="n">
        <v>25.5</v>
      </c>
      <c r="R2" s="13" t="inlineStr">
        <is>
          <t>1-1</t>
        </is>
      </c>
      <c r="S2" s="13" t="n">
        <v>8.199999999999999</v>
      </c>
      <c r="T2" s="13" t="n">
        <v>38.6</v>
      </c>
      <c r="U2" s="13" t="n">
        <v>32.1</v>
      </c>
      <c r="V2" s="13" t="n">
        <v>29.3</v>
      </c>
      <c r="W2" s="13" t="inlineStr">
        <is>
          <t>2nd Half</t>
        </is>
      </c>
      <c r="X2" s="13" t="inlineStr">
        <is>
          <t>H/H</t>
        </is>
      </c>
      <c r="Y2" s="13" t="n">
        <v>14.5</v>
      </c>
      <c r="Z2" s="13" t="n">
        <v>9.300000000000001</v>
      </c>
      <c r="AA2" s="13" t="n">
        <v>59.9</v>
      </c>
      <c r="AB2" s="13" t="n">
        <v>40.1</v>
      </c>
      <c r="AC2" s="13" t="n">
        <v>10.1</v>
      </c>
      <c r="AD2" s="13" t="n">
        <v>5.7</v>
      </c>
      <c r="AE2" s="13" t="n">
        <v>58.5</v>
      </c>
      <c r="AF2" s="13" t="inlineStr">
        <is>
          <t>dnb_away</t>
        </is>
      </c>
      <c r="AG2" s="13" t="n">
        <v>24.73</v>
      </c>
      <c r="AH2" s="13" t="n">
        <v>1.607</v>
      </c>
      <c r="AI2" s="13" t="n">
        <v>500</v>
      </c>
      <c r="AJ2" s="13" t="n">
        <v>10000</v>
      </c>
      <c r="AK2" s="13" t="inlineStr">
        <is>
          <t>{"home_win": 1.29, "draw": 6.0, "away_win": 9.0, "over_2.5": 1.36, "under_2.5": 3.2, "over_1.5": 1.11, "over_3.5": 1.9, "btts_yes": 1.61, "btts_no": 2.2, "dc_1x": 1.07, "dc_x2": 3.5, "dnb_home": 1.11, "dnb_away": 6.5, "ah_-1.5": 1.85, "ah_+1.5": 2.0, "cor_ov_10.5": 1.8, "cor_un_10.5": 1.9}</t>
        </is>
      </c>
      <c r="AL2" s="13" t="n">
        <v>1</v>
      </c>
      <c r="AM2" s="13" t="n">
        <v>1</v>
      </c>
      <c r="AN2" s="13" t="n">
        <v>1</v>
      </c>
      <c r="AO2" s="13" t="n">
        <v>1.037</v>
      </c>
      <c r="AP2" s="13" t="n">
        <v>0.968</v>
      </c>
      <c r="AQ2" s="13" t="inlineStr">
        <is>
          <t>None</t>
        </is>
      </c>
      <c r="AR2" s="13" t="inlineStr">
        <is>
          <t>None</t>
        </is>
      </c>
      <c r="AS2" s="15" t="inlineStr">
        <is>
          <t>4-2</t>
        </is>
      </c>
      <c r="AT2" s="10" t="inlineStr">
        <is>
          <t>H</t>
        </is>
      </c>
      <c r="AU2" s="10" t="n">
        <v>6</v>
      </c>
      <c r="AV2" s="10" t="inlineStr">
        <is>
          <t>Y</t>
        </is>
      </c>
      <c r="AW2" s="15" t="inlineStr">
        <is>
          <t>1-0</t>
        </is>
      </c>
      <c r="AX2" s="10" t="n">
        <v>13</v>
      </c>
      <c r="AY2" s="10" t="n">
        <v>3</v>
      </c>
      <c r="AZ2" s="10" t="inlineStr">
        <is>
          <t>Y</t>
        </is>
      </c>
      <c r="BA2" s="10" t="inlineStr">
        <is>
          <t>dnb_away</t>
        </is>
      </c>
      <c r="BB2" s="10" t="n">
        <v>500</v>
      </c>
      <c r="BC2" s="10" t="n">
        <v>6.5</v>
      </c>
      <c r="BD2" s="10" t="inlineStr">
        <is>
          <t>L</t>
        </is>
      </c>
      <c r="BE2" s="10" t="n">
        <v>-500</v>
      </c>
      <c r="BF2" s="11">
        <f>IF(AT2="","",IF(AND(H2="Home Win",AT2="H"),"✓",IF(AND(H2="Draw",AT2="D"),"✓",IF(AND(H2="Away Win",AT2="A"),"✓","✗"))))</f>
        <v/>
      </c>
      <c r="BG2" s="11">
        <f>IF(AU2="","",IF(AND(L2&gt;50,AU2&gt;2),"✓",IF(AND(L2&lt;=50,AU2&lt;=2),"✓","✗")))</f>
        <v/>
      </c>
      <c r="BH2" s="11">
        <f>IF(AV2="","",IF(AND(P2&gt;50,AV2="Y"),"✓",IF(AND(P2&lt;=50,AV2="N"),"✓","✗")))</f>
        <v/>
      </c>
      <c r="BI2" s="11">
        <f>IF(AX2="","",IF(AND(AC2&gt;9.5,AX2&gt;9),"✓",IF(AND(AC2&lt;=9.5,AX2&lt;=9),"✓","✗")))</f>
        <v/>
      </c>
      <c r="BJ2" s="11">
        <f>IF(AY2="","",IF(AND(AD2&gt;3.5,AY2&gt;3),"✓",IF(AND(AD2&lt;=3.5,AY2&lt;=3),"✓","✗")))</f>
        <v/>
      </c>
      <c r="BK2" s="12" t="n">
        <v>6.7</v>
      </c>
      <c r="BL2" s="11">
        <f>IFERROR((BC2/BK2-1)*100,"")</f>
        <v/>
      </c>
      <c r="BM2" s="11">
        <f>IF(BE2="",AJ2,AJ2+IF(BE2="",0,BE2))</f>
        <v/>
      </c>
      <c r="BN2" s="11">
        <f>IFERROR(SUMIF(AZ$2:AZ2,"Y",BE$2:BE2)/SUMIF(AZ$2:AZ2,"Y",BB$2:BB2)*100,0)</f>
        <v/>
      </c>
    </row>
    <row r="3">
      <c r="A3" s="13" t="n">
        <v>2</v>
      </c>
      <c r="B3" s="13" t="inlineStr">
        <is>
          <t>2026-04-12 18:07</t>
        </is>
      </c>
      <c r="C3" s="13" t="inlineStr">
        <is>
          <t>Aston Villa</t>
        </is>
      </c>
      <c r="D3" s="13" t="inlineStr">
        <is>
          <t>Newcastle</t>
        </is>
      </c>
      <c r="E3" s="13" t="n">
        <v>2.82</v>
      </c>
      <c r="F3" s="13" t="n">
        <v>1.58</v>
      </c>
      <c r="G3" s="13" t="n">
        <v>4.41</v>
      </c>
      <c r="H3" s="13" t="inlineStr">
        <is>
          <t>Home Win</t>
        </is>
      </c>
      <c r="I3" s="13" t="n">
        <v>63.4</v>
      </c>
      <c r="J3" s="13" t="n">
        <v>16.1</v>
      </c>
      <c r="K3" s="13" t="n">
        <v>20.5</v>
      </c>
      <c r="L3" s="13" t="n">
        <v>81.5</v>
      </c>
      <c r="M3" s="13" t="n">
        <v>18.5</v>
      </c>
      <c r="N3" s="13" t="n">
        <v>93.40000000000001</v>
      </c>
      <c r="O3" s="13" t="n">
        <v>64.5</v>
      </c>
      <c r="P3" s="13" t="n">
        <v>74.40000000000001</v>
      </c>
      <c r="Q3" s="13" t="n">
        <v>25.6</v>
      </c>
      <c r="R3" s="13" t="inlineStr">
        <is>
          <t>2-1</t>
        </is>
      </c>
      <c r="S3" s="13" t="n">
        <v>7.5</v>
      </c>
      <c r="T3" s="13" t="n">
        <v>49.2</v>
      </c>
      <c r="U3" s="13" t="n">
        <v>29.8</v>
      </c>
      <c r="V3" s="13" t="n">
        <v>21</v>
      </c>
      <c r="W3" s="13" t="inlineStr">
        <is>
          <t>2nd Half</t>
        </is>
      </c>
      <c r="X3" s="13" t="inlineStr">
        <is>
          <t>H/H</t>
        </is>
      </c>
      <c r="Y3" s="13" t="n">
        <v>19.5</v>
      </c>
      <c r="Z3" s="13" t="n">
        <v>5.1</v>
      </c>
      <c r="AA3" s="13" t="n">
        <v>75.59999999999999</v>
      </c>
      <c r="AB3" s="13" t="n">
        <v>24.4</v>
      </c>
      <c r="AC3" s="13" t="n">
        <v>10.2</v>
      </c>
      <c r="AD3" s="13" t="n">
        <v>5.7</v>
      </c>
      <c r="AE3" s="13" t="n">
        <v>58.6</v>
      </c>
      <c r="AF3" s="13" t="inlineStr">
        <is>
          <t>over_3.5</t>
        </is>
      </c>
      <c r="AG3" s="13" t="n">
        <v>28.17</v>
      </c>
      <c r="AH3" s="13" t="n">
        <v>0.775</v>
      </c>
      <c r="AI3" s="13" t="n">
        <v>500</v>
      </c>
      <c r="AJ3" s="13" t="n">
        <v>9500</v>
      </c>
      <c r="AK3" s="13" t="inlineStr">
        <is>
          <t>{"home_win": 2.35, "draw": 3.5, "away_win": 2.9, "over_2.5": 1.72, "under_2.5": 2.1, "over_1.5": 1.22, "over_3.5": 2.75, "btts_yes": 1.61, "btts_no": 2.2, "dc_1x": 1.4, "dc_x2": 1.57, "dnb_home": 1.66, "dnb_away": 2.1, "cor_ov_10.5": 1.83, "cor_un_10.5": 1.83, "crd_ov_4.5": 1.83}</t>
        </is>
      </c>
      <c r="AL3" s="13" t="n">
        <v>1</v>
      </c>
      <c r="AM3" s="13" t="n">
        <v>1</v>
      </c>
      <c r="AN3" s="13" t="n">
        <v>1</v>
      </c>
      <c r="AO3" s="13" t="n">
        <v>1.011</v>
      </c>
      <c r="AP3" s="13" t="n">
        <v>0.957</v>
      </c>
      <c r="AQ3" s="13" t="inlineStr">
        <is>
          <t>None</t>
        </is>
      </c>
      <c r="AR3" s="13" t="inlineStr">
        <is>
          <t>None</t>
        </is>
      </c>
      <c r="AS3" s="15" t="inlineStr">
        <is>
          <t>0-0</t>
        </is>
      </c>
      <c r="AT3" s="10" t="inlineStr">
        <is>
          <t>D</t>
        </is>
      </c>
      <c r="AU3" s="10" t="n">
        <v>0</v>
      </c>
      <c r="AV3" s="10" t="inlineStr">
        <is>
          <t>N</t>
        </is>
      </c>
      <c r="AW3" s="15" t="inlineStr">
        <is>
          <t>0-0</t>
        </is>
      </c>
      <c r="AX3" s="10" t="n">
        <v>9</v>
      </c>
      <c r="AY3" s="10" t="n">
        <v>3</v>
      </c>
      <c r="AZ3" s="10" t="inlineStr">
        <is>
          <t>Y</t>
        </is>
      </c>
      <c r="BA3" s="10" t="inlineStr">
        <is>
          <t>over_3.5</t>
        </is>
      </c>
      <c r="BB3" s="10" t="n">
        <v>500</v>
      </c>
      <c r="BC3" s="10" t="n">
        <v>2.75</v>
      </c>
      <c r="BD3" s="10" t="inlineStr">
        <is>
          <t>L</t>
        </is>
      </c>
      <c r="BE3" s="10" t="n">
        <v>-500</v>
      </c>
      <c r="BF3" s="11">
        <f>IF(AT3="","",IF(AND(H3="Home Win",AT3="H"),"✓",IF(AND(H3="Draw",AT3="D"),"✓",IF(AND(H3="Away Win",AT3="A"),"✓","✗"))))</f>
        <v/>
      </c>
      <c r="BG3" s="11">
        <f>IF(AU3="","",IF(AND(L3&gt;50,AU3&gt;2),"✓",IF(AND(L3&lt;=50,AU3&lt;=2),"✓","✗")))</f>
        <v/>
      </c>
      <c r="BH3" s="11">
        <f>IF(AV3="","",IF(AND(P3&gt;50,AV3="Y"),"✓",IF(AND(P3&lt;=50,AV3="N"),"✓","✗")))</f>
        <v/>
      </c>
      <c r="BI3" s="11">
        <f>IF(AX3="","",IF(AND(AC3&gt;9.5,AX3&gt;9),"✓",IF(AND(AC3&lt;=9.5,AX3&lt;=9),"✓","✗")))</f>
        <v/>
      </c>
      <c r="BJ3" s="11">
        <f>IF(AY3="","",IF(AND(AD3&gt;3.5,AY3&gt;3),"✓",IF(AND(AD3&lt;=3.5,AY3&lt;=3),"✓","✗")))</f>
        <v/>
      </c>
      <c r="BK3" s="12" t="n">
        <v>9</v>
      </c>
      <c r="BL3" s="11">
        <f>IFERROR((BC3/BK3-1)*100,"")</f>
        <v/>
      </c>
      <c r="BM3" s="11">
        <f>IF(BE3="",AJ3,AJ3+IF(BE3="",0,BE3))</f>
        <v/>
      </c>
      <c r="BN3" s="11">
        <f>IFERROR(SUMIF(AZ$2:AZ3,"Y",BE$2:BE3)/SUMIF(AZ$2:AZ3,"Y",BB$2:BB3)*100,0)</f>
        <v/>
      </c>
    </row>
    <row r="4">
      <c r="A4" s="20" t="n">
        <v>3</v>
      </c>
      <c r="B4" s="20" t="inlineStr">
        <is>
          <t>2026-04-12 18:40</t>
        </is>
      </c>
      <c r="C4" s="20" t="inlineStr">
        <is>
          <t>Tottenham</t>
        </is>
      </c>
      <c r="D4" s="20" t="inlineStr">
        <is>
          <t>Burnley</t>
        </is>
      </c>
      <c r="E4" s="20" t="n">
        <v>4.09</v>
      </c>
      <c r="F4" s="20" t="n">
        <v>2.94</v>
      </c>
      <c r="G4" s="20" t="n">
        <v>7.03</v>
      </c>
      <c r="H4" s="20" t="inlineStr">
        <is>
          <t>Home Win</t>
        </is>
      </c>
      <c r="I4" s="20" t="n">
        <v>56.4</v>
      </c>
      <c r="J4" s="20" t="n">
        <v>11</v>
      </c>
      <c r="K4" s="20" t="n">
        <v>32.6</v>
      </c>
      <c r="L4" s="20" t="n">
        <v>89.5</v>
      </c>
      <c r="M4" s="20" t="n">
        <v>10.5</v>
      </c>
      <c r="N4" s="20" t="n">
        <v>95.7</v>
      </c>
      <c r="O4" s="20" t="n">
        <v>80.2</v>
      </c>
      <c r="P4" s="20" t="n">
        <v>79.40000000000001</v>
      </c>
      <c r="Q4" s="20" t="n">
        <v>20.6</v>
      </c>
      <c r="R4" s="20" t="inlineStr">
        <is>
          <t>2-1</t>
        </is>
      </c>
      <c r="S4" s="20" t="n">
        <v>4.5</v>
      </c>
      <c r="T4" s="20" t="n">
        <v>48.6</v>
      </c>
      <c r="U4" s="20" t="n">
        <v>22.1</v>
      </c>
      <c r="V4" s="20" t="n">
        <v>29.3</v>
      </c>
      <c r="W4" s="20" t="inlineStr">
        <is>
          <t>2nd Half</t>
        </is>
      </c>
      <c r="X4" s="20" t="inlineStr">
        <is>
          <t>H/H</t>
        </is>
      </c>
      <c r="Y4" s="20" t="n">
        <v>14.5</v>
      </c>
      <c r="Z4" s="20" t="n">
        <v>5.1</v>
      </c>
      <c r="AA4" s="20" t="n">
        <v>63.4</v>
      </c>
      <c r="AB4" s="20" t="n">
        <v>36.6</v>
      </c>
      <c r="AC4" s="20" t="n">
        <v>10.2</v>
      </c>
      <c r="AD4" s="20" t="n">
        <v>5.7</v>
      </c>
      <c r="AE4" s="20" t="n">
        <v>58.9</v>
      </c>
      <c r="AF4" s="20" t="inlineStr">
        <is>
          <t>over_3.5</t>
        </is>
      </c>
      <c r="AG4" s="20" t="n">
        <v>50.79</v>
      </c>
      <c r="AH4" s="20" t="n">
        <v>1.727</v>
      </c>
      <c r="AI4" s="20" t="n">
        <v>450</v>
      </c>
      <c r="AJ4" s="20" t="n">
        <v>9000</v>
      </c>
      <c r="AK4" s="20" t="inlineStr">
        <is>
          <t>{"home_win": 1.53, "draw": 4.0, "away_win": 6.5, "over_2.5": 1.9, "under_2.5": 1.9, "over_1.5": 1.28, "over_3.5": 3.4, "btts_yes": 1.95, "btts_no": 1.8, "dc_1x": 1.12, "dc_x2": 2.37, "dnb_home": 1.18, "dnb_away": 4.5}</t>
        </is>
      </c>
      <c r="AL4" s="20" t="n">
        <v>1</v>
      </c>
      <c r="AM4" s="20" t="n">
        <v>1</v>
      </c>
      <c r="AN4" s="20" t="n">
        <v>1</v>
      </c>
      <c r="AO4" s="20" t="n">
        <v>0.9409999999999999</v>
      </c>
      <c r="AP4" s="20" t="n">
        <v>1.032</v>
      </c>
      <c r="AQ4" s="20" t="inlineStr">
        <is>
          <t>None</t>
        </is>
      </c>
      <c r="AR4" s="20" t="inlineStr">
        <is>
          <t>None</t>
        </is>
      </c>
      <c r="AS4" s="21" t="inlineStr">
        <is>
          <t>3-0</t>
        </is>
      </c>
      <c r="AT4" s="17" t="inlineStr">
        <is>
          <t>H</t>
        </is>
      </c>
      <c r="AU4" s="17" t="n">
        <v>3</v>
      </c>
      <c r="AV4" s="17" t="inlineStr">
        <is>
          <t>N</t>
        </is>
      </c>
      <c r="AW4" s="21" t="inlineStr">
        <is>
          <t>1-0</t>
        </is>
      </c>
      <c r="AX4" s="17" t="n">
        <v>11</v>
      </c>
      <c r="AY4" s="17" t="n">
        <v>0</v>
      </c>
      <c r="AZ4" s="17" t="n"/>
      <c r="BA4" s="20" t="inlineStr">
        <is>
          <t>over_3.5</t>
        </is>
      </c>
      <c r="BB4" s="17" t="n"/>
      <c r="BC4" s="17" t="n"/>
      <c r="BD4" s="17" t="n"/>
      <c r="BE4" s="17" t="n"/>
      <c r="BF4" s="18">
        <f>IF(AT4="","",IF(AND(H4="Home Win",AT4="H"),"✓",IF(AND(H4="Draw",AT4="D"),"✓",IF(AND(H4="Away Win",AT4="A"),"✓","✗"))))</f>
        <v/>
      </c>
      <c r="BG4" s="18">
        <f>IF(AU4="","",IF(AND(L4&gt;50,AU4&gt;2),"✓",IF(AND(L4&lt;=50,AU4&lt;=2),"✓","✗")))</f>
        <v/>
      </c>
      <c r="BH4" s="18">
        <f>IF(AV4="","",IF(AND(P4&gt;50,AV4="Y"),"✓",IF(AND(P4&lt;=50,AV4="N"),"✓","✗")))</f>
        <v/>
      </c>
      <c r="BI4" s="18">
        <f>IF(AX4="","",IF(AND(AC4&gt;9.5,AX4&gt;9),"✓",IF(AND(AC4&lt;=9.5,AX4&lt;=9),"✓","✗")))</f>
        <v/>
      </c>
      <c r="BJ4" s="18">
        <f>IF(AY4="","",IF(AND(AD4&gt;3.5,AY4&gt;3),"✓",IF(AND(AD4&lt;=3.5,AY4&lt;=3),"✓","✗")))</f>
        <v/>
      </c>
      <c r="BK4" s="19" t="n"/>
      <c r="BL4" s="18">
        <f>IFERROR((BC4/BK4-1)*100,"")</f>
        <v/>
      </c>
      <c r="BM4" s="18">
        <f>IF(BE4="",AJ4,AJ4+IF(BE4="",0,BE4))</f>
        <v/>
      </c>
      <c r="BN4" s="18">
        <f>IFERROR(SUMIF(AZ$2:AZ4,"Y",BE$2:BE4)/SUMIF(AZ$2:AZ4,"Y",BB$2:BB4)*100,0)</f>
        <v/>
      </c>
    </row>
    <row r="5">
      <c r="A5" s="20" t="n">
        <v>4</v>
      </c>
      <c r="B5" s="20" t="inlineStr">
        <is>
          <t>2026-04-12 18:54</t>
        </is>
      </c>
      <c r="C5" s="20" t="inlineStr">
        <is>
          <t>Brighton</t>
        </is>
      </c>
      <c r="D5" s="20" t="inlineStr">
        <is>
          <t>Fulham</t>
        </is>
      </c>
      <c r="E5" s="20" t="n">
        <v>2.38</v>
      </c>
      <c r="F5" s="20" t="n">
        <v>2.14</v>
      </c>
      <c r="G5" s="20" t="n">
        <v>4.52</v>
      </c>
      <c r="H5" s="20" t="inlineStr">
        <is>
          <t>Home Win</t>
        </is>
      </c>
      <c r="I5" s="20" t="n">
        <v>44.9</v>
      </c>
      <c r="J5" s="20" t="n">
        <v>19.5</v>
      </c>
      <c r="K5" s="20" t="n">
        <v>35.6</v>
      </c>
      <c r="L5" s="20" t="n">
        <v>82.2</v>
      </c>
      <c r="M5" s="20" t="n">
        <v>17.8</v>
      </c>
      <c r="N5" s="20" t="n">
        <v>93.59999999999999</v>
      </c>
      <c r="O5" s="20" t="n">
        <v>65.59999999999999</v>
      </c>
      <c r="P5" s="20" t="n">
        <v>79.09999999999999</v>
      </c>
      <c r="Q5" s="20" t="n">
        <v>20.9</v>
      </c>
      <c r="R5" s="20" t="inlineStr">
        <is>
          <t>1-1</t>
        </is>
      </c>
      <c r="S5" s="20" t="n">
        <v>7.4</v>
      </c>
      <c r="T5" s="20" t="n">
        <v>37.8</v>
      </c>
      <c r="U5" s="20" t="n">
        <v>30</v>
      </c>
      <c r="V5" s="20" t="n">
        <v>32.2</v>
      </c>
      <c r="W5" s="20" t="inlineStr">
        <is>
          <t>2nd Half</t>
        </is>
      </c>
      <c r="X5" s="20" t="inlineStr">
        <is>
          <t>H/H</t>
        </is>
      </c>
      <c r="Y5" s="20" t="n">
        <v>10.8</v>
      </c>
      <c r="Z5" s="20" t="n">
        <v>8.6</v>
      </c>
      <c r="AA5" s="20" t="n">
        <v>55.8</v>
      </c>
      <c r="AB5" s="20" t="n">
        <v>44.2</v>
      </c>
      <c r="AC5" s="20" t="n">
        <v>10.2</v>
      </c>
      <c r="AD5" s="20" t="n">
        <v>5.7</v>
      </c>
      <c r="AE5" s="20" t="n">
        <v>58.5</v>
      </c>
      <c r="AF5" s="20" t="inlineStr">
        <is>
          <t>over_3.5</t>
        </is>
      </c>
      <c r="AG5" s="20" t="n">
        <v>34.39</v>
      </c>
      <c r="AH5" s="20" t="n">
        <v>1.1</v>
      </c>
      <c r="AI5" s="20" t="n">
        <v>428</v>
      </c>
      <c r="AJ5" s="20" t="n">
        <v>8550</v>
      </c>
      <c r="AK5" s="20" t="inlineStr">
        <is>
          <t>{"home_win": 1.85, "draw": 3.7, "away_win": 4.0, "over_2.5": 1.9, "under_2.5": 1.9, "over_1.5": 1.28, "over_3.5": 3.2, "btts_yes": 1.8, "btts_no": 1.95, "dc_1x": 1.2, "dc_x2": 1.95, "dnb_home": 1.33, "dnb_away": 3.25}</t>
        </is>
      </c>
      <c r="AL5" s="20" t="n">
        <v>1</v>
      </c>
      <c r="AM5" s="20" t="n">
        <v>1</v>
      </c>
      <c r="AN5" s="20" t="n">
        <v>1</v>
      </c>
      <c r="AO5" s="20" t="n">
        <v>1.043</v>
      </c>
      <c r="AP5" s="20" t="n">
        <v>1.037</v>
      </c>
      <c r="AQ5" s="20" t="inlineStr">
        <is>
          <t>None</t>
        </is>
      </c>
      <c r="AR5" s="20" t="inlineStr">
        <is>
          <t>None</t>
        </is>
      </c>
      <c r="AS5" s="21" t="inlineStr">
        <is>
          <t>1-1</t>
        </is>
      </c>
      <c r="AT5" s="17" t="inlineStr">
        <is>
          <t>D</t>
        </is>
      </c>
      <c r="AU5" s="17" t="n">
        <v>2</v>
      </c>
      <c r="AV5" s="17" t="inlineStr">
        <is>
          <t>Y</t>
        </is>
      </c>
      <c r="AW5" s="21" t="inlineStr">
        <is>
          <t>0-0</t>
        </is>
      </c>
      <c r="AX5" s="17" t="n">
        <v>7</v>
      </c>
      <c r="AY5" s="17" t="n">
        <v>6</v>
      </c>
      <c r="AZ5" s="17" t="n"/>
      <c r="BA5" s="20" t="inlineStr">
        <is>
          <t>over_3.5</t>
        </is>
      </c>
      <c r="BB5" s="17" t="n"/>
      <c r="BC5" s="17" t="n"/>
      <c r="BD5" s="17" t="n"/>
      <c r="BE5" s="17" t="n"/>
      <c r="BF5" s="18">
        <f>IF(AT5="","",IF(AND(H5="Home Win",AT5="H"),"✓",IF(AND(H5="Draw",AT5="D"),"✓",IF(AND(H5="Away Win",AT5="A"),"✓","✗"))))</f>
        <v/>
      </c>
      <c r="BG5" s="18">
        <f>IF(AU5="","",IF(AND(L5&gt;50,AU5&gt;2),"✓",IF(AND(L5&lt;=50,AU5&lt;=2),"✓","✗")))</f>
        <v/>
      </c>
      <c r="BH5" s="18">
        <f>IF(AV5="","",IF(AND(P5&gt;50,AV5="Y"),"✓",IF(AND(P5&lt;=50,AV5="N"),"✓","✗")))</f>
        <v/>
      </c>
      <c r="BI5" s="18">
        <f>IF(AX5="","",IF(AND(AC5&gt;9.5,AX5&gt;9),"✓",IF(AND(AC5&lt;=9.5,AX5&lt;=9),"✓","✗")))</f>
        <v/>
      </c>
      <c r="BJ5" s="18">
        <f>IF(AY5="","",IF(AND(AD5&gt;3.5,AY5&gt;3),"✓",IF(AND(AD5&lt;=3.5,AY5&lt;=3),"✓","✗")))</f>
        <v/>
      </c>
      <c r="BK5" s="19" t="n"/>
      <c r="BL5" s="18">
        <f>IFERROR((BC5/BK5-1)*100,"")</f>
        <v/>
      </c>
      <c r="BM5" s="18">
        <f>IF(BE5="",AJ5,AJ5+IF(BE5="",0,BE5))</f>
        <v/>
      </c>
      <c r="BN5" s="18">
        <f>IFERROR(SUMIF(AZ$2:AZ5,"Y",BE$2:BE5)/SUMIF(AZ$2:AZ5,"Y",BB$2:BB5)*100,0)</f>
        <v/>
      </c>
    </row>
    <row r="6">
      <c r="A6" s="20" t="n">
        <v>5</v>
      </c>
      <c r="B6" s="20" t="inlineStr">
        <is>
          <t>2026-04-12 18:58</t>
        </is>
      </c>
      <c r="C6" s="20" t="inlineStr">
        <is>
          <t>Wolves</t>
        </is>
      </c>
      <c r="D6" s="20" t="inlineStr">
        <is>
          <t>Manchester City</t>
        </is>
      </c>
      <c r="E6" s="20" t="n">
        <v>0.88</v>
      </c>
      <c r="F6" s="20" t="n">
        <v>1.65</v>
      </c>
      <c r="G6" s="20" t="n">
        <v>2.53</v>
      </c>
      <c r="H6" s="20" t="inlineStr">
        <is>
          <t>Away Win</t>
        </is>
      </c>
      <c r="I6" s="20" t="n">
        <v>20.3</v>
      </c>
      <c r="J6" s="20" t="n">
        <v>23.9</v>
      </c>
      <c r="K6" s="20" t="n">
        <v>55.8</v>
      </c>
      <c r="L6" s="20" t="n">
        <v>46.1</v>
      </c>
      <c r="M6" s="20" t="n">
        <v>53.9</v>
      </c>
      <c r="N6" s="20" t="n">
        <v>71.40000000000001</v>
      </c>
      <c r="O6" s="20" t="n">
        <v>25</v>
      </c>
      <c r="P6" s="20" t="n">
        <v>46.8</v>
      </c>
      <c r="Q6" s="20" t="n">
        <v>53.2</v>
      </c>
      <c r="R6" s="20" t="inlineStr">
        <is>
          <t>1-1</t>
        </is>
      </c>
      <c r="S6" s="20" t="n">
        <v>13.6</v>
      </c>
      <c r="T6" s="20" t="n">
        <v>17.6</v>
      </c>
      <c r="U6" s="20" t="n">
        <v>42</v>
      </c>
      <c r="V6" s="20" t="n">
        <v>40.4</v>
      </c>
      <c r="W6" s="20" t="inlineStr">
        <is>
          <t>2nd Half</t>
        </is>
      </c>
      <c r="X6" s="20" t="inlineStr">
        <is>
          <t>D/A</t>
        </is>
      </c>
      <c r="Y6" s="20" t="n">
        <v>11.6</v>
      </c>
      <c r="Z6" s="20" t="n">
        <v>33.7</v>
      </c>
      <c r="AA6" s="20" t="n">
        <v>26.7</v>
      </c>
      <c r="AB6" s="20" t="n">
        <v>73.3</v>
      </c>
      <c r="AC6" s="20" t="n">
        <v>9.9</v>
      </c>
      <c r="AD6" s="20" t="n">
        <v>4.1</v>
      </c>
      <c r="AE6" s="20" t="n">
        <v>43.3</v>
      </c>
      <c r="AF6" s="20" t="n"/>
      <c r="AG6" s="20" t="n">
        <v>0</v>
      </c>
      <c r="AH6" s="20" t="n">
        <v>0</v>
      </c>
      <c r="AI6" s="20" t="n">
        <v>0</v>
      </c>
      <c r="AJ6" s="20" t="n">
        <v>8122</v>
      </c>
      <c r="AK6" s="20" t="inlineStr">
        <is>
          <t>{"home_win": 6.25, "draw": 4.2, "away_win": 1.53, "over_2.5": 1.8, "under_2.5": 2.0, "over_1.5": 1.25, "over_3.5": 3.0, "btts_yes": 1.9, "btts_no": 1.9, "dc_1x": 2.37, "dc_x2": 1.12, "dnb_home": 4.5, "dnb_away": 1.18}</t>
        </is>
      </c>
      <c r="AL6" s="20" t="n">
        <v>1</v>
      </c>
      <c r="AM6" s="20" t="n">
        <v>1</v>
      </c>
      <c r="AN6" s="20" t="n">
        <v>1</v>
      </c>
      <c r="AO6" s="20" t="n">
        <v>0.963</v>
      </c>
      <c r="AP6" s="20" t="n">
        <v>1.043</v>
      </c>
      <c r="AQ6" s="20" t="inlineStr">
        <is>
          <t>None</t>
        </is>
      </c>
      <c r="AR6" s="20" t="inlineStr">
        <is>
          <t>None</t>
        </is>
      </c>
      <c r="AS6" s="21" t="inlineStr">
        <is>
          <t>0-4</t>
        </is>
      </c>
      <c r="AT6" s="17" t="inlineStr">
        <is>
          <t>A</t>
        </is>
      </c>
      <c r="AU6" s="17" t="n">
        <v>4</v>
      </c>
      <c r="AV6" s="17" t="inlineStr">
        <is>
          <t>N</t>
        </is>
      </c>
      <c r="AW6" s="21" t="inlineStr">
        <is>
          <t>0-2</t>
        </is>
      </c>
      <c r="AX6" s="17" t="n">
        <v>9</v>
      </c>
      <c r="AY6" s="17" t="n">
        <v>3</v>
      </c>
      <c r="AZ6" s="17" t="n"/>
      <c r="BA6" s="20" t="n"/>
      <c r="BB6" s="17" t="n"/>
      <c r="BC6" s="17" t="n"/>
      <c r="BD6" s="17" t="n"/>
      <c r="BE6" s="17" t="n"/>
      <c r="BF6" s="18">
        <f>IF(AT6="","",IF(AND(H6="Home Win",AT6="H"),"✓",IF(AND(H6="Draw",AT6="D"),"✓",IF(AND(H6="Away Win",AT6="A"),"✓","✗"))))</f>
        <v/>
      </c>
      <c r="BG6" s="18">
        <f>IF(AU6="","",IF(AND(L6&gt;50,AU6&gt;2),"✓",IF(AND(L6&lt;=50,AU6&lt;=2),"✓","✗")))</f>
        <v/>
      </c>
      <c r="BH6" s="18">
        <f>IF(AV6="","",IF(AND(P6&gt;50,AV6="Y"),"✓",IF(AND(P6&lt;=50,AV6="N"),"✓","✗")))</f>
        <v/>
      </c>
      <c r="BI6" s="18">
        <f>IF(AX6="","",IF(AND(AC6&gt;9.5,AX6&gt;9),"✓",IF(AND(AC6&lt;=9.5,AX6&lt;=9),"✓","✗")))</f>
        <v/>
      </c>
      <c r="BJ6" s="18">
        <f>IF(AY6="","",IF(AND(AD6&gt;3.5,AY6&gt;3),"✓",IF(AND(AD6&lt;=3.5,AY6&lt;=3),"✓","✗")))</f>
        <v/>
      </c>
      <c r="BK6" s="19" t="n"/>
      <c r="BL6" s="18">
        <f>IFERROR((BC6/BK6-1)*100,"")</f>
        <v/>
      </c>
      <c r="BM6" s="18">
        <f>IF(BE6="",AJ6,AJ6+IF(BE6="",0,BE6))</f>
        <v/>
      </c>
      <c r="BN6" s="18">
        <f>IFERROR(SUMIF(AZ$2:AZ6,"Y",BE$2:BE6)/SUMIF(AZ$2:AZ6,"Y",BB$2:BB6)*100,0)</f>
        <v/>
      </c>
    </row>
    <row r="7">
      <c r="A7" s="20" t="n">
        <v>6</v>
      </c>
      <c r="B7" s="20" t="inlineStr">
        <is>
          <t>2026-04-12 19:05</t>
        </is>
      </c>
      <c r="C7" s="20" t="inlineStr">
        <is>
          <t>Nottingham Forest</t>
        </is>
      </c>
      <c r="D7" s="20" t="inlineStr">
        <is>
          <t>Brentford</t>
        </is>
      </c>
      <c r="E7" s="20" t="n">
        <v>1.44</v>
      </c>
      <c r="F7" s="20" t="n">
        <v>1.64</v>
      </c>
      <c r="G7" s="20" t="n">
        <v>3.08</v>
      </c>
      <c r="H7" s="20" t="inlineStr">
        <is>
          <t>Away Win</t>
        </is>
      </c>
      <c r="I7" s="20" t="n">
        <v>33.8</v>
      </c>
      <c r="J7" s="20" t="n">
        <v>23.8</v>
      </c>
      <c r="K7" s="20" t="n">
        <v>42.4</v>
      </c>
      <c r="L7" s="20" t="n">
        <v>60.1</v>
      </c>
      <c r="M7" s="20" t="n">
        <v>39.9</v>
      </c>
      <c r="N7" s="20" t="n">
        <v>81.3</v>
      </c>
      <c r="O7" s="20" t="n">
        <v>37.3</v>
      </c>
      <c r="P7" s="20" t="n">
        <v>61.7</v>
      </c>
      <c r="Q7" s="20" t="n">
        <v>38.3</v>
      </c>
      <c r="R7" s="20" t="inlineStr">
        <is>
          <t>1-1</t>
        </is>
      </c>
      <c r="S7" s="20" t="n">
        <v>14.1</v>
      </c>
      <c r="T7" s="20" t="n">
        <v>29</v>
      </c>
      <c r="U7" s="20" t="n">
        <v>38.5</v>
      </c>
      <c r="V7" s="20" t="n">
        <v>32.6</v>
      </c>
      <c r="W7" s="20" t="inlineStr">
        <is>
          <t>2nd Half</t>
        </is>
      </c>
      <c r="X7" s="20" t="inlineStr">
        <is>
          <t>D/A</t>
        </is>
      </c>
      <c r="Y7" s="20" t="n">
        <v>15.1</v>
      </c>
      <c r="Z7" s="20" t="n">
        <v>18.8</v>
      </c>
      <c r="AA7" s="20" t="n">
        <v>44.4</v>
      </c>
      <c r="AB7" s="20" t="n">
        <v>55.6</v>
      </c>
      <c r="AC7" s="20" t="n">
        <v>10</v>
      </c>
      <c r="AD7" s="20" t="n">
        <v>5</v>
      </c>
      <c r="AE7" s="20" t="n">
        <v>51.8</v>
      </c>
      <c r="AF7" s="20" t="inlineStr">
        <is>
          <t>dnb_away</t>
        </is>
      </c>
      <c r="AG7" s="20" t="n">
        <v>22.27</v>
      </c>
      <c r="AH7" s="20" t="n">
        <v>0.668</v>
      </c>
      <c r="AI7" s="20" t="n">
        <v>406</v>
      </c>
      <c r="AJ7" s="20" t="n">
        <v>8122</v>
      </c>
      <c r="AK7" s="20" t="inlineStr">
        <is>
          <t>{"home_win": 1.9, "draw": 3.5, "away_win": 4.2, "over_2.5": 2.0, "under_2.5": 1.8, "over_1.5": 1.3, "over_3.5": 3.5, "btts_yes": 1.8, "btts_no": 1.95, "dc_1x": 1.22, "dc_x2": 1.9, "dnb_home": 1.36, "dnb_away": 3.0}</t>
        </is>
      </c>
      <c r="AL7" s="20" t="n">
        <v>1</v>
      </c>
      <c r="AM7" s="20" t="n">
        <v>1</v>
      </c>
      <c r="AN7" s="20" t="n">
        <v>1</v>
      </c>
      <c r="AO7" s="20" t="n">
        <v>1.005</v>
      </c>
      <c r="AP7" s="20" t="n">
        <v>1.011</v>
      </c>
      <c r="AQ7" s="20" t="inlineStr">
        <is>
          <t>None</t>
        </is>
      </c>
      <c r="AR7" s="20" t="inlineStr">
        <is>
          <t>None</t>
        </is>
      </c>
      <c r="AS7" s="21" t="inlineStr">
        <is>
          <t>3-1</t>
        </is>
      </c>
      <c r="AT7" s="17" t="inlineStr">
        <is>
          <t>H</t>
        </is>
      </c>
      <c r="AU7" s="17" t="n">
        <v>4</v>
      </c>
      <c r="AV7" s="17" t="inlineStr">
        <is>
          <t>Y</t>
        </is>
      </c>
      <c r="AW7" s="21" t="inlineStr">
        <is>
          <t>3-0</t>
        </is>
      </c>
      <c r="AX7" s="17" t="n">
        <v>10</v>
      </c>
      <c r="AY7" s="17" t="n">
        <v>3</v>
      </c>
      <c r="AZ7" s="17" t="n"/>
      <c r="BA7" s="20" t="inlineStr">
        <is>
          <t>dnb_away</t>
        </is>
      </c>
      <c r="BB7" s="17" t="n"/>
      <c r="BC7" s="17" t="n"/>
      <c r="BD7" s="17" t="n"/>
      <c r="BE7" s="17" t="n"/>
      <c r="BF7" s="18">
        <f>IF(AT7="","",IF(AND(H7="Home Win",AT7="H"),"✓",IF(AND(H7="Draw",AT7="D"),"✓",IF(AND(H7="Away Win",AT7="A"),"✓","✗"))))</f>
        <v/>
      </c>
      <c r="BG7" s="18">
        <f>IF(AU7="","",IF(AND(L7&gt;50,AU7&gt;2),"✓",IF(AND(L7&lt;=50,AU7&lt;=2),"✓","✗")))</f>
        <v/>
      </c>
      <c r="BH7" s="18">
        <f>IF(AV7="","",IF(AND(P7&gt;50,AV7="Y"),"✓",IF(AND(P7&lt;=50,AV7="N"),"✓","✗")))</f>
        <v/>
      </c>
      <c r="BI7" s="18">
        <f>IF(AX7="","",IF(AND(AC7&gt;9.5,AX7&gt;9),"✓",IF(AND(AC7&lt;=9.5,AX7&lt;=9),"✓","✗")))</f>
        <v/>
      </c>
      <c r="BJ7" s="18">
        <f>IF(AY7="","",IF(AND(AD7&gt;3.5,AY7&gt;3),"✓",IF(AND(AD7&lt;=3.5,AY7&lt;=3),"✓","✗")))</f>
        <v/>
      </c>
      <c r="BK7" s="19" t="n"/>
      <c r="BL7" s="18">
        <f>IFERROR((BC7/BK7-1)*100,"")</f>
        <v/>
      </c>
      <c r="BM7" s="18">
        <f>IF(BE7="",AJ7,AJ7+IF(BE7="",0,BE7))</f>
        <v/>
      </c>
      <c r="BN7" s="18">
        <f>IFERROR(SUMIF(AZ$2:AZ7,"Y",BE$2:BE7)/SUMIF(AZ$2:AZ7,"Y",BB$2:BB7)*100,0)</f>
        <v/>
      </c>
    </row>
    <row r="8">
      <c r="A8" s="20" t="n">
        <v>7</v>
      </c>
      <c r="B8" s="20" t="inlineStr">
        <is>
          <t>2026-04-12 19:08</t>
        </is>
      </c>
      <c r="C8" s="20" t="inlineStr">
        <is>
          <t>Chelsea</t>
        </is>
      </c>
      <c r="D8" s="20" t="inlineStr">
        <is>
          <t>Crystal Palace</t>
        </is>
      </c>
      <c r="E8" s="20" t="n">
        <v>1.77</v>
      </c>
      <c r="F8" s="20" t="n">
        <v>1.02</v>
      </c>
      <c r="G8" s="20" t="n">
        <v>2.79</v>
      </c>
      <c r="H8" s="20" t="inlineStr">
        <is>
          <t>Home Win</t>
        </is>
      </c>
      <c r="I8" s="20" t="n">
        <v>55.1</v>
      </c>
      <c r="J8" s="20" t="n">
        <v>23.3</v>
      </c>
      <c r="K8" s="20" t="n">
        <v>21.6</v>
      </c>
      <c r="L8" s="20" t="n">
        <v>53.3</v>
      </c>
      <c r="M8" s="20" t="n">
        <v>46.7</v>
      </c>
      <c r="N8" s="20" t="n">
        <v>76.40000000000001</v>
      </c>
      <c r="O8" s="20" t="n">
        <v>31.8</v>
      </c>
      <c r="P8" s="20" t="n">
        <v>53.2</v>
      </c>
      <c r="Q8" s="20" t="n">
        <v>46.8</v>
      </c>
      <c r="R8" s="20" t="inlineStr">
        <is>
          <t>1-1</t>
        </is>
      </c>
      <c r="S8" s="20" t="n">
        <v>14.7</v>
      </c>
      <c r="T8" s="20" t="n">
        <v>41.1</v>
      </c>
      <c r="U8" s="20" t="n">
        <v>39.8</v>
      </c>
      <c r="V8" s="20" t="n">
        <v>19.1</v>
      </c>
      <c r="W8" s="20" t="inlineStr">
        <is>
          <t>2nd Half</t>
        </is>
      </c>
      <c r="X8" s="20" t="inlineStr">
        <is>
          <t>H/H</t>
        </is>
      </c>
      <c r="Y8" s="20" t="n">
        <v>29.6</v>
      </c>
      <c r="Z8" s="20" t="n">
        <v>10.8</v>
      </c>
      <c r="AA8" s="20" t="n">
        <v>71.8</v>
      </c>
      <c r="AB8" s="20" t="n">
        <v>28.2</v>
      </c>
      <c r="AC8" s="20" t="n">
        <v>10.3</v>
      </c>
      <c r="AD8" s="20" t="n">
        <v>4.5</v>
      </c>
      <c r="AE8" s="20" t="n">
        <v>47.1</v>
      </c>
      <c r="AF8" s="20" t="n"/>
      <c r="AG8" s="20" t="n">
        <v>0</v>
      </c>
      <c r="AH8" s="20" t="n">
        <v>0</v>
      </c>
      <c r="AI8" s="20" t="n">
        <v>0</v>
      </c>
      <c r="AJ8" s="20" t="n">
        <v>7716</v>
      </c>
      <c r="AK8" s="20" t="inlineStr">
        <is>
          <t>{"home_win": 1.85, "draw": 3.7, "away_win": 4.1, "over_2.5": 1.72, "under_2.5": 2.1, "over_1.5": 1.22, "over_3.5": 2.75, "btts_yes": 1.7, "btts_no": 2.05, "dc_1x": 1.2, "dc_x2": 1.95, "dnb_home": 1.36, "dnb_away": 3.0}</t>
        </is>
      </c>
      <c r="AL8" s="20" t="n">
        <v>1</v>
      </c>
      <c r="AM8" s="20" t="n">
        <v>1</v>
      </c>
      <c r="AN8" s="20" t="n">
        <v>1</v>
      </c>
      <c r="AO8" s="20" t="n">
        <v>1.005</v>
      </c>
      <c r="AP8" s="20" t="n">
        <v>1.021</v>
      </c>
      <c r="AQ8" s="20" t="inlineStr">
        <is>
          <t>None</t>
        </is>
      </c>
      <c r="AR8" s="20" t="inlineStr">
        <is>
          <t>None</t>
        </is>
      </c>
      <c r="AS8" s="21" t="inlineStr">
        <is>
          <t>0-0</t>
        </is>
      </c>
      <c r="AT8" s="17" t="inlineStr">
        <is>
          <t>D</t>
        </is>
      </c>
      <c r="AU8" s="17" t="n">
        <v>0</v>
      </c>
      <c r="AV8" s="17" t="inlineStr">
        <is>
          <t>N</t>
        </is>
      </c>
      <c r="AW8" s="21" t="inlineStr">
        <is>
          <t>0-0</t>
        </is>
      </c>
      <c r="AX8" s="17" t="n">
        <v>13</v>
      </c>
      <c r="AY8" s="17" t="n">
        <v>5</v>
      </c>
      <c r="AZ8" s="17" t="n"/>
      <c r="BA8" s="20" t="n"/>
      <c r="BB8" s="17" t="n"/>
      <c r="BC8" s="17" t="n"/>
      <c r="BD8" s="17" t="n"/>
      <c r="BE8" s="17" t="n"/>
      <c r="BF8" s="18">
        <f>IF(AT8="","",IF(AND(H8="Home Win",AT8="H"),"✓",IF(AND(H8="Draw",AT8="D"),"✓",IF(AND(H8="Away Win",AT8="A"),"✓","✗"))))</f>
        <v/>
      </c>
      <c r="BG8" s="18">
        <f>IF(AU8="","",IF(AND(L8&gt;50,AU8&gt;2),"✓",IF(AND(L8&lt;=50,AU8&lt;=2),"✓","✗")))</f>
        <v/>
      </c>
      <c r="BH8" s="18">
        <f>IF(AV8="","",IF(AND(P8&gt;50,AV8="Y"),"✓",IF(AND(P8&lt;=50,AV8="N"),"✓","✗")))</f>
        <v/>
      </c>
      <c r="BI8" s="18">
        <f>IF(AX8="","",IF(AND(AC8&gt;9.5,AX8&gt;9),"✓",IF(AND(AC8&lt;=9.5,AX8&lt;=9),"✓","✗")))</f>
        <v/>
      </c>
      <c r="BJ8" s="18">
        <f>IF(AY8="","",IF(AND(AD8&gt;3.5,AY8&gt;3),"✓",IF(AND(AD8&lt;=3.5,AY8&lt;=3),"✓","✗")))</f>
        <v/>
      </c>
      <c r="BK8" s="19" t="n"/>
      <c r="BL8" s="18">
        <f>IFERROR((BC8/BK8-1)*100,"")</f>
        <v/>
      </c>
      <c r="BM8" s="18">
        <f>IF(BE8="",AJ8,AJ8+IF(BE8="",0,BE8))</f>
        <v/>
      </c>
      <c r="BN8" s="18">
        <f>IFERROR(SUMIF(AZ$2:AZ8,"Y",BE$2:BE8)/SUMIF(AZ$2:AZ8,"Y",BB$2:BB8)*100,0)</f>
        <v/>
      </c>
    </row>
    <row r="9">
      <c r="A9" s="20" t="n">
        <v>8</v>
      </c>
      <c r="B9" s="20" t="inlineStr">
        <is>
          <t>2026-04-12 19:11</t>
        </is>
      </c>
      <c r="C9" s="20" t="inlineStr">
        <is>
          <t>Manchester United</t>
        </is>
      </c>
      <c r="D9" s="20" t="inlineStr">
        <is>
          <t>Arsenal</t>
        </is>
      </c>
      <c r="E9" s="20" t="n">
        <v>1.39</v>
      </c>
      <c r="F9" s="20" t="n">
        <v>2.45</v>
      </c>
      <c r="G9" s="20" t="n">
        <v>3.84</v>
      </c>
      <c r="H9" s="20" t="inlineStr">
        <is>
          <t>Away Win</t>
        </is>
      </c>
      <c r="I9" s="20" t="n">
        <v>21.6</v>
      </c>
      <c r="J9" s="20" t="n">
        <v>18.8</v>
      </c>
      <c r="K9" s="20" t="n">
        <v>59.7</v>
      </c>
      <c r="L9" s="20" t="n">
        <v>72.90000000000001</v>
      </c>
      <c r="M9" s="20" t="n">
        <v>27.1</v>
      </c>
      <c r="N9" s="20" t="n">
        <v>89.2</v>
      </c>
      <c r="O9" s="20" t="n">
        <v>52.5</v>
      </c>
      <c r="P9" s="20" t="n">
        <v>68.2</v>
      </c>
      <c r="Q9" s="20" t="n">
        <v>31.8</v>
      </c>
      <c r="R9" s="20" t="inlineStr">
        <is>
          <t>1-1</t>
        </is>
      </c>
      <c r="S9" s="20" t="n">
        <v>10.2</v>
      </c>
      <c r="T9" s="20" t="n">
        <v>20.4</v>
      </c>
      <c r="U9" s="20" t="n">
        <v>32.2</v>
      </c>
      <c r="V9" s="20" t="n">
        <v>47.5</v>
      </c>
      <c r="W9" s="20" t="inlineStr">
        <is>
          <t>2nd Half</t>
        </is>
      </c>
      <c r="X9" s="20" t="inlineStr">
        <is>
          <t>A/A</t>
        </is>
      </c>
      <c r="Y9" s="20" t="n">
        <v>7</v>
      </c>
      <c r="Z9" s="20" t="n">
        <v>22.5</v>
      </c>
      <c r="AA9" s="20" t="n">
        <v>26.5</v>
      </c>
      <c r="AB9" s="20" t="n">
        <v>73.5</v>
      </c>
      <c r="AC9" s="20" t="n">
        <v>9.800000000000001</v>
      </c>
      <c r="AD9" s="20" t="n">
        <v>5.7</v>
      </c>
      <c r="AE9" s="20" t="n">
        <v>59.1</v>
      </c>
      <c r="AF9" s="20" t="inlineStr">
        <is>
          <t>over_3.5</t>
        </is>
      </c>
      <c r="AG9" s="20" t="n">
        <v>16.19</v>
      </c>
      <c r="AH9" s="20" t="n">
        <v>0.445</v>
      </c>
      <c r="AI9" s="20" t="n">
        <v>386</v>
      </c>
      <c r="AJ9" s="20" t="n">
        <v>7716</v>
      </c>
      <c r="AK9" s="20" t="inlineStr">
        <is>
          <t>{"home_win": 3.7, "draw": 3.7, "away_win": 1.91, "over_2.5": 1.66, "under_2.5": 2.2, "over_1.5": 1.22, "over_3.5": 2.75, "btts_yes": 1.61, "btts_no": 2.2, "dc_1x": 1.83, "dc_x2": 1.28, "dnb_home": 2.62, "dnb_away": 1.44}</t>
        </is>
      </c>
      <c r="AL9" s="20" t="n">
        <v>1</v>
      </c>
      <c r="AM9" s="20" t="n">
        <v>1</v>
      </c>
      <c r="AN9" s="20" t="n">
        <v>1</v>
      </c>
      <c r="AO9" s="20" t="n">
        <v>1.005</v>
      </c>
      <c r="AP9" s="20" t="n">
        <v>1.053</v>
      </c>
      <c r="AQ9" s="20" t="inlineStr">
        <is>
          <t>None</t>
        </is>
      </c>
      <c r="AR9" s="20" t="inlineStr">
        <is>
          <t>None</t>
        </is>
      </c>
      <c r="AS9" s="21" t="inlineStr">
        <is>
          <t>0-1</t>
        </is>
      </c>
      <c r="AT9" s="17" t="inlineStr">
        <is>
          <t>A</t>
        </is>
      </c>
      <c r="AU9" s="17" t="n">
        <v>1</v>
      </c>
      <c r="AV9" s="17" t="inlineStr">
        <is>
          <t>N</t>
        </is>
      </c>
      <c r="AW9" s="21" t="inlineStr">
        <is>
          <t>0-1</t>
        </is>
      </c>
      <c r="AX9" s="17" t="n">
        <v>7</v>
      </c>
      <c r="AY9" s="17" t="n">
        <v>5</v>
      </c>
      <c r="AZ9" s="17" t="n"/>
      <c r="BA9" s="20" t="inlineStr">
        <is>
          <t>over_3.5</t>
        </is>
      </c>
      <c r="BB9" s="17" t="n"/>
      <c r="BC9" s="17" t="n"/>
      <c r="BD9" s="17" t="n"/>
      <c r="BE9" s="17" t="n"/>
      <c r="BF9" s="18">
        <f>IF(AT9="","",IF(AND(H9="Home Win",AT9="H"),"✓",IF(AND(H9="Draw",AT9="D"),"✓",IF(AND(H9="Away Win",AT9="A"),"✓","✗"))))</f>
        <v/>
      </c>
      <c r="BG9" s="18">
        <f>IF(AU9="","",IF(AND(L9&gt;50,AU9&gt;2),"✓",IF(AND(L9&lt;=50,AU9&lt;=2),"✓","✗")))</f>
        <v/>
      </c>
      <c r="BH9" s="18">
        <f>IF(AV9="","",IF(AND(P9&gt;50,AV9="Y"),"✓",IF(AND(P9&lt;=50,AV9="N"),"✓","✗")))</f>
        <v/>
      </c>
      <c r="BI9" s="18">
        <f>IF(AX9="","",IF(AND(AC9&gt;9.5,AX9&gt;9),"✓",IF(AND(AC9&lt;=9.5,AX9&lt;=9),"✓","✗")))</f>
        <v/>
      </c>
      <c r="BJ9" s="18">
        <f>IF(AY9="","",IF(AND(AD9&gt;3.5,AY9&gt;3),"✓",IF(AND(AD9&lt;=3.5,AY9&lt;=3),"✓","✗")))</f>
        <v/>
      </c>
      <c r="BK9" s="19" t="n"/>
      <c r="BL9" s="18">
        <f>IFERROR((BC9/BK9-1)*100,"")</f>
        <v/>
      </c>
      <c r="BM9" s="18">
        <f>IF(BE9="",AJ9,AJ9+IF(BE9="",0,BE9))</f>
        <v/>
      </c>
      <c r="BN9" s="18">
        <f>IFERROR(SUMIF(AZ$2:AZ9,"Y",BE$2:BE9)/SUMIF(AZ$2:AZ9,"Y",BB$2:BB9)*100,0)</f>
        <v/>
      </c>
    </row>
    <row r="10">
      <c r="A10" s="20" t="n">
        <v>9</v>
      </c>
      <c r="B10" s="20" t="inlineStr">
        <is>
          <t>2026-04-12 19:14</t>
        </is>
      </c>
      <c r="C10" s="20" t="inlineStr">
        <is>
          <t>Leeds</t>
        </is>
      </c>
      <c r="D10" s="20" t="inlineStr">
        <is>
          <t>Everton</t>
        </is>
      </c>
      <c r="E10" s="20" t="n">
        <v>0.68</v>
      </c>
      <c r="F10" s="20" t="n">
        <v>2.78</v>
      </c>
      <c r="G10" s="20" t="n">
        <v>3.45</v>
      </c>
      <c r="H10" s="20" t="inlineStr">
        <is>
          <t>Away Win</t>
        </is>
      </c>
      <c r="I10" s="20" t="n">
        <v>14.5</v>
      </c>
      <c r="J10" s="20" t="n">
        <v>21.8</v>
      </c>
      <c r="K10" s="20" t="n">
        <v>63.7</v>
      </c>
      <c r="L10" s="20" t="n">
        <v>47.8</v>
      </c>
      <c r="M10" s="20" t="n">
        <v>52.2</v>
      </c>
      <c r="N10" s="20" t="n">
        <v>65.09999999999999</v>
      </c>
      <c r="O10" s="20" t="n">
        <v>35</v>
      </c>
      <c r="P10" s="20" t="n">
        <v>29.1</v>
      </c>
      <c r="Q10" s="20" t="n">
        <v>70.90000000000001</v>
      </c>
      <c r="R10" s="20" t="inlineStr">
        <is>
          <t>0-0</t>
        </is>
      </c>
      <c r="S10" s="20" t="n">
        <v>24.6</v>
      </c>
      <c r="T10" s="20" t="n">
        <v>11.3</v>
      </c>
      <c r="U10" s="20" t="n">
        <v>40.2</v>
      </c>
      <c r="V10" s="20" t="n">
        <v>48.5</v>
      </c>
      <c r="W10" s="20" t="inlineStr">
        <is>
          <t>2nd Half</t>
        </is>
      </c>
      <c r="X10" s="20" t="inlineStr">
        <is>
          <t>A/A</t>
        </is>
      </c>
      <c r="Y10" s="20" t="n">
        <v>9.6</v>
      </c>
      <c r="Z10" s="20" t="n">
        <v>46.4</v>
      </c>
      <c r="AA10" s="20" t="n">
        <v>18.5</v>
      </c>
      <c r="AB10" s="20" t="n">
        <v>81.5</v>
      </c>
      <c r="AC10" s="20" t="n">
        <v>9.699999999999999</v>
      </c>
      <c r="AD10" s="20" t="n">
        <v>5.6</v>
      </c>
      <c r="AE10" s="20" t="n">
        <v>57.8</v>
      </c>
      <c r="AF10" s="20" t="inlineStr">
        <is>
          <t>dnb_away</t>
        </is>
      </c>
      <c r="AG10" s="20" t="n">
        <v>37.04</v>
      </c>
      <c r="AH10" s="20" t="n">
        <v>0.833</v>
      </c>
      <c r="AI10" s="20" t="n">
        <v>366</v>
      </c>
      <c r="AJ10" s="20" t="n">
        <v>7330</v>
      </c>
      <c r="AK10" s="20" t="inlineStr">
        <is>
          <t>{"home_win": 2.25, "draw": 3.25, "away_win": 3.25, "over_2.5": 2.1, "under_2.5": 1.72, "over_1.5": 1.36, "over_3.5": 4.0, "btts_yes": 1.8, "btts_no": 1.95, "dc_1x": 1.33, "dc_x2": 1.61, "dnb_home": 1.57, "dnb_away": 2.25}</t>
        </is>
      </c>
      <c r="AL10" s="20" t="n">
        <v>1</v>
      </c>
      <c r="AM10" s="20" t="n">
        <v>1</v>
      </c>
      <c r="AN10" s="20" t="n">
        <v>1</v>
      </c>
      <c r="AO10" s="20" t="n">
        <v>1.011</v>
      </c>
      <c r="AP10" s="20" t="n">
        <v>1.027</v>
      </c>
      <c r="AQ10" s="20" t="inlineStr">
        <is>
          <t>None</t>
        </is>
      </c>
      <c r="AR10" s="20" t="inlineStr">
        <is>
          <t>None</t>
        </is>
      </c>
      <c r="AS10" s="21" t="inlineStr">
        <is>
          <t>1-0</t>
        </is>
      </c>
      <c r="AT10" s="17" t="inlineStr">
        <is>
          <t>H</t>
        </is>
      </c>
      <c r="AU10" s="17" t="n">
        <v>1</v>
      </c>
      <c r="AV10" s="17" t="inlineStr">
        <is>
          <t>N</t>
        </is>
      </c>
      <c r="AW10" s="21" t="inlineStr">
        <is>
          <t>0-0</t>
        </is>
      </c>
      <c r="AX10" s="17" t="n">
        <v>9</v>
      </c>
      <c r="AY10" s="17" t="n">
        <v>2</v>
      </c>
      <c r="AZ10" s="17" t="inlineStr">
        <is>
          <t>Y</t>
        </is>
      </c>
      <c r="BA10" s="20" t="inlineStr">
        <is>
          <t>dnb_away</t>
        </is>
      </c>
      <c r="BB10" s="17" t="n"/>
      <c r="BC10" s="17" t="n"/>
      <c r="BD10" s="17" t="n"/>
      <c r="BE10" s="17" t="n"/>
      <c r="BF10" s="18">
        <f>IF(AT10="","",IF(AND(H10="Home Win",AT10="H"),"✓",IF(AND(H10="Draw",AT10="D"),"✓",IF(AND(H10="Away Win",AT10="A"),"✓","✗"))))</f>
        <v/>
      </c>
      <c r="BG10" s="18">
        <f>IF(AU10="","",IF(AND(L10&gt;50,AU10&gt;2),"✓",IF(AND(L10&lt;=50,AU10&lt;=2),"✓","✗")))</f>
        <v/>
      </c>
      <c r="BH10" s="18">
        <f>IF(AV10="","",IF(AND(P10&gt;50,AV10="Y"),"✓",IF(AND(P10&lt;=50,AV10="N"),"✓","✗")))</f>
        <v/>
      </c>
      <c r="BI10" s="18">
        <f>IF(AX10="","",IF(AND(AC10&gt;9.5,AX10&gt;9),"✓",IF(AND(AC10&lt;=9.5,AX10&lt;=9),"✓","✗")))</f>
        <v/>
      </c>
      <c r="BJ10" s="18">
        <f>IF(AY10="","",IF(AND(AD10&gt;3.5,AY10&gt;3),"✓",IF(AND(AD10&lt;=3.5,AY10&lt;=3),"✓","✗")))</f>
        <v/>
      </c>
      <c r="BK10" s="19" t="n"/>
      <c r="BL10" s="18">
        <f>IFERROR((BC10/BK10-1)*100,"")</f>
        <v/>
      </c>
      <c r="BM10" s="18">
        <f>IF(BE10="",AJ10,AJ10+IF(BE10="",0,BE10))</f>
        <v/>
      </c>
      <c r="BN10" s="18">
        <f>IFERROR(SUMIF(AZ$2:AZ10,"Y",BE$2:BE10)/SUMIF(AZ$2:AZ10,"Y",BB$2:BB10)*100,0)</f>
        <v/>
      </c>
    </row>
    <row r="11">
      <c r="A11" s="30" t="n">
        <v>10</v>
      </c>
      <c r="B11" s="30" t="inlineStr">
        <is>
          <t>2026-04-13 10:27</t>
        </is>
      </c>
      <c r="C11" s="30" t="inlineStr">
        <is>
          <t>Tottenham</t>
        </is>
      </c>
      <c r="D11" s="30" t="inlineStr">
        <is>
          <t>Leicester</t>
        </is>
      </c>
      <c r="E11" s="30" t="n">
        <v>1.28</v>
      </c>
      <c r="F11" s="30" t="n">
        <v>1</v>
      </c>
      <c r="G11" s="30" t="n">
        <v>2.28</v>
      </c>
      <c r="H11" s="30" t="inlineStr">
        <is>
          <t>Home Win</t>
        </is>
      </c>
      <c r="I11" s="30" t="n">
        <v>43.4</v>
      </c>
      <c r="J11" s="30" t="n">
        <v>27.9</v>
      </c>
      <c r="K11" s="30" t="n">
        <v>28.7</v>
      </c>
      <c r="L11" s="30" t="n">
        <v>40.3</v>
      </c>
      <c r="M11" s="30" t="n">
        <v>59.7</v>
      </c>
      <c r="N11" s="30" t="n">
        <v>66.8</v>
      </c>
      <c r="O11" s="30" t="n">
        <v>20.1</v>
      </c>
      <c r="P11" s="30" t="n">
        <v>45.7</v>
      </c>
      <c r="Q11" s="30" t="n">
        <v>54.3</v>
      </c>
      <c r="R11" s="30" t="inlineStr">
        <is>
          <t>1-1</t>
        </is>
      </c>
      <c r="S11" s="30" t="n">
        <v>14.4</v>
      </c>
      <c r="T11" s="30" t="n">
        <v>31.1</v>
      </c>
      <c r="U11" s="30" t="n">
        <v>46.1</v>
      </c>
      <c r="V11" s="30" t="n">
        <v>22.8</v>
      </c>
      <c r="W11" s="30" t="inlineStr">
        <is>
          <t>2nd Half</t>
        </is>
      </c>
      <c r="X11" s="30" t="inlineStr">
        <is>
          <t>D/H</t>
        </is>
      </c>
      <c r="Y11" s="30" t="n">
        <v>26.6</v>
      </c>
      <c r="Z11" s="30" t="n">
        <v>17.5</v>
      </c>
      <c r="AA11" s="30" t="n">
        <v>60.1</v>
      </c>
      <c r="AB11" s="30" t="n">
        <v>39.9</v>
      </c>
      <c r="AC11" s="30" t="n">
        <v>10.2</v>
      </c>
      <c r="AD11" s="30" t="n">
        <v>3.7</v>
      </c>
      <c r="AE11" s="30" t="n">
        <v>38.6</v>
      </c>
      <c r="AF11" s="30" t="inlineStr"/>
      <c r="AG11" s="30" t="n">
        <v>0</v>
      </c>
      <c r="AH11" s="30" t="n">
        <v>0</v>
      </c>
      <c r="AI11" s="30" t="n">
        <v>0</v>
      </c>
      <c r="AJ11" s="30" t="n">
        <v>10000</v>
      </c>
      <c r="AK11" s="30" t="inlineStr">
        <is>
          <t>{}</t>
        </is>
      </c>
      <c r="AL11" s="30" t="n">
        <v>1</v>
      </c>
      <c r="AM11" s="30" t="n">
        <v>1</v>
      </c>
      <c r="AN11" s="30" t="n">
        <v>1</v>
      </c>
      <c r="AO11" s="30" t="n">
        <v>0.949</v>
      </c>
      <c r="AP11" s="30" t="n">
        <v>0.992</v>
      </c>
      <c r="AQ11" s="30" t="inlineStr">
        <is>
          <t>None</t>
        </is>
      </c>
      <c r="AR11" s="30" t="inlineStr">
        <is>
          <t>None</t>
        </is>
      </c>
      <c r="AS11" s="23" t="inlineStr"/>
      <c r="AT11" s="23" t="inlineStr"/>
      <c r="AU11" s="23" t="inlineStr"/>
      <c r="AV11" s="23" t="inlineStr"/>
      <c r="AW11" s="23" t="inlineStr"/>
      <c r="AX11" s="23" t="inlineStr"/>
      <c r="AY11" s="23" t="inlineStr"/>
      <c r="AZ11" s="23" t="inlineStr"/>
      <c r="BA11" s="23" t="inlineStr"/>
      <c r="BB11" s="23" t="inlineStr"/>
      <c r="BC11" s="23" t="inlineStr"/>
      <c r="BD11" s="23" t="inlineStr"/>
      <c r="BE11" s="23" t="inlineStr"/>
      <c r="BF11" s="24">
        <f>IF(AT11="","",IF(AND(H11="Home Win",AT11="H"),"✓",IF(AND(H11="Draw",AT11="D"),"✓",IF(AND(H11="Away Win",AT11="A"),"✓","✗"))))</f>
        <v/>
      </c>
      <c r="BG11" s="24">
        <f>IF(AU11="","",IF(AND(L11&gt;50,AU11&gt;2),"✓",IF(AND(L11&lt;=50,AU11&lt;=2),"✓","✗")))</f>
        <v/>
      </c>
      <c r="BH11" s="24">
        <f>IF(AV11="","",IF(AND(P11&gt;50,AV11="Y"),"✓",IF(AND(P11&lt;=50,AV11="N"),"✓","✗")))</f>
        <v/>
      </c>
      <c r="BI11" s="24">
        <f>IF(AX11="","",IF(AND(AC11&gt;9.5,AX11&gt;9),"✓",IF(AND(AC11&lt;=9.5,AX11&lt;=9),"✓","✗")))</f>
        <v/>
      </c>
      <c r="BJ11" s="24">
        <f>IF(AY11="","",IF(AND(AD11&gt;3.5,AY11&gt;3),"✓",IF(AND(AD11&lt;=3.5,AY11&lt;=3),"✓","✗")))</f>
        <v/>
      </c>
      <c r="BK11" s="25" t="inlineStr"/>
      <c r="BL11" s="24">
        <f>IFERROR((BC11/BK11-1)*100,"")</f>
        <v/>
      </c>
      <c r="BM11" s="24">
        <f>IF(BE11="",AJ11,AJ11+IF(BE11="",0,BE11))</f>
        <v/>
      </c>
      <c r="BN11" s="24">
        <f>IFERROR(SUMIF(AZ$2:AZ11,"Y",BE$2:BE11)/SUMIF(AZ$2:AZ11,"Y",BB$2:BB11)*100,0)</f>
        <v/>
      </c>
    </row>
    <row r="12">
      <c r="A12" s="30" t="n">
        <v>11</v>
      </c>
      <c r="B12" s="30" t="inlineStr">
        <is>
          <t>2026-04-14 07:26</t>
        </is>
      </c>
      <c r="C12" s="30" t="inlineStr">
        <is>
          <t>Manchester United</t>
        </is>
      </c>
      <c r="D12" s="30" t="inlineStr">
        <is>
          <t>Leeds</t>
        </is>
      </c>
      <c r="E12" s="30" t="n">
        <v>3.25</v>
      </c>
      <c r="F12" s="30" t="n">
        <v>1.69</v>
      </c>
      <c r="G12" s="30" t="n">
        <v>4.94</v>
      </c>
      <c r="H12" s="30" t="inlineStr">
        <is>
          <t>Home Win</t>
        </is>
      </c>
      <c r="I12" s="30" t="n">
        <v>55</v>
      </c>
      <c r="J12" s="30" t="n">
        <v>17.5</v>
      </c>
      <c r="K12" s="30" t="n">
        <v>27.5</v>
      </c>
      <c r="L12" s="30" t="n">
        <v>65.2</v>
      </c>
      <c r="M12" s="30" t="n">
        <v>34.8</v>
      </c>
      <c r="N12" s="30" t="n">
        <v>79.2</v>
      </c>
      <c r="O12" s="30" t="n">
        <v>52.9</v>
      </c>
      <c r="P12" s="30" t="n">
        <v>50.8</v>
      </c>
      <c r="Q12" s="30" t="n">
        <v>49.2</v>
      </c>
      <c r="R12" s="30" t="inlineStr">
        <is>
          <t>0-0</t>
        </is>
      </c>
      <c r="S12" s="30" t="n">
        <v>13.4</v>
      </c>
      <c r="T12" s="30" t="n">
        <v>44.8</v>
      </c>
      <c r="U12" s="30" t="n">
        <v>32</v>
      </c>
      <c r="V12" s="30" t="n">
        <v>23.2</v>
      </c>
      <c r="W12" s="30" t="inlineStr">
        <is>
          <t>2nd Half</t>
        </is>
      </c>
      <c r="X12" s="30" t="inlineStr">
        <is>
          <t>H/H</t>
        </is>
      </c>
      <c r="Y12" s="30" t="n">
        <v>28.4</v>
      </c>
      <c r="Z12" s="30" t="n">
        <v>12.8</v>
      </c>
      <c r="AA12" s="30" t="n">
        <v>66.7</v>
      </c>
      <c r="AB12" s="30" t="n">
        <v>33.3</v>
      </c>
      <c r="AC12" s="30" t="n">
        <v>10.3</v>
      </c>
      <c r="AD12" s="30" t="n">
        <v>5.7</v>
      </c>
      <c r="AE12" s="30" t="n">
        <v>59.1</v>
      </c>
      <c r="AF12" s="30" t="inlineStr"/>
      <c r="AG12" s="30" t="n">
        <v>0</v>
      </c>
      <c r="AH12" s="30" t="n">
        <v>0</v>
      </c>
      <c r="AI12" s="30" t="n">
        <v>0</v>
      </c>
      <c r="AJ12" s="30" t="n">
        <v>10000</v>
      </c>
      <c r="AK12" s="30" t="inlineStr">
        <is>
          <t>{}</t>
        </is>
      </c>
      <c r="AL12" s="30" t="n">
        <v>1</v>
      </c>
      <c r="AM12" s="30" t="n">
        <v>1</v>
      </c>
      <c r="AN12" s="30" t="n">
        <v>1</v>
      </c>
      <c r="AO12" s="30" t="n">
        <v>1.039</v>
      </c>
      <c r="AP12" s="30" t="n">
        <v>1</v>
      </c>
      <c r="AQ12" s="30" t="inlineStr">
        <is>
          <t>None</t>
        </is>
      </c>
      <c r="AR12" s="30" t="inlineStr">
        <is>
          <t>None</t>
        </is>
      </c>
      <c r="AS12" s="23" t="inlineStr"/>
      <c r="AT12" s="23" t="inlineStr"/>
      <c r="AU12" s="23" t="inlineStr"/>
      <c r="AV12" s="23" t="inlineStr"/>
      <c r="AW12" s="23" t="inlineStr"/>
      <c r="AX12" s="23" t="inlineStr"/>
      <c r="AY12" s="23" t="inlineStr"/>
      <c r="AZ12" s="23" t="inlineStr"/>
      <c r="BA12" s="23" t="inlineStr"/>
      <c r="BB12" s="23" t="inlineStr"/>
      <c r="BC12" s="23" t="inlineStr"/>
      <c r="BD12" s="23" t="inlineStr"/>
      <c r="BE12" s="23" t="inlineStr"/>
      <c r="BF12" s="24">
        <f>IF(AT12="","",IF(AND(H12="Home Win",AT12="H"),"✓",IF(AND(H12="Draw",AT12="D"),"✓",IF(AND(H12="Away Win",AT12="A"),"✓","✗"))))</f>
        <v/>
      </c>
      <c r="BG12" s="24">
        <f>IF(AU12="","",IF(AND(L12&gt;50,AU12&gt;2),"✓",IF(AND(L12&lt;=50,AU12&lt;=2),"✓","✗")))</f>
        <v/>
      </c>
      <c r="BH12" s="24">
        <f>IF(AV12="","",IF(AND(P12&gt;50,AV12="Y"),"✓",IF(AND(P12&lt;=50,AV12="N"),"✓","✗")))</f>
        <v/>
      </c>
      <c r="BI12" s="24">
        <f>IF(AX12="","",IF(AND(AC12&gt;9.5,AX12&gt;9),"✓",IF(AND(AC12&lt;=9.5,AX12&lt;=9),"✓","✗")))</f>
        <v/>
      </c>
      <c r="BJ12" s="24">
        <f>IF(AY12="","",IF(AND(AD12&gt;3.5,AY12&gt;3),"✓",IF(AND(AD12&lt;=3.5,AY12&lt;=3),"✓","✗")))</f>
        <v/>
      </c>
      <c r="BK12" s="25" t="inlineStr"/>
      <c r="BL12" s="24">
        <f>IFERROR((BC12/BK12-1)*100,"")</f>
        <v/>
      </c>
      <c r="BM12" s="24">
        <f>IF(BE12="",AJ12,AJ12+IF(BE12="",0,BE12))</f>
        <v/>
      </c>
      <c r="BN12" s="24">
        <f>IFERROR(SUMIF(AZ$2:AZ12,"Y",BE$2:BE12)/SUMIF(AZ$2:AZ12,"Y",BB$2:BB12)*100,0)</f>
        <v/>
      </c>
    </row>
    <row r="13">
      <c r="A13" s="30" t="n">
        <v>12</v>
      </c>
      <c r="B13" s="30" t="inlineStr">
        <is>
          <t>2026-04-14 07:28</t>
        </is>
      </c>
      <c r="C13" s="30" t="inlineStr">
        <is>
          <t>Arsenal</t>
        </is>
      </c>
      <c r="D13" s="30" t="inlineStr">
        <is>
          <t>Manchester City</t>
        </is>
      </c>
      <c r="E13" s="30" t="n">
        <v>1.89</v>
      </c>
      <c r="F13" s="30" t="n">
        <v>1.45</v>
      </c>
      <c r="G13" s="30" t="n">
        <v>3.33</v>
      </c>
      <c r="H13" s="30" t="inlineStr">
        <is>
          <t>Home Win</t>
        </is>
      </c>
      <c r="I13" s="30" t="n">
        <v>48</v>
      </c>
      <c r="J13" s="30" t="n">
        <v>22.1</v>
      </c>
      <c r="K13" s="30" t="n">
        <v>29.9</v>
      </c>
      <c r="L13" s="30" t="n">
        <v>64.90000000000001</v>
      </c>
      <c r="M13" s="30" t="n">
        <v>35.1</v>
      </c>
      <c r="N13" s="30" t="n">
        <v>85</v>
      </c>
      <c r="O13" s="30" t="n">
        <v>43.5</v>
      </c>
      <c r="P13" s="30" t="n">
        <v>65.2</v>
      </c>
      <c r="Q13" s="30" t="n">
        <v>34.8</v>
      </c>
      <c r="R13" s="30" t="inlineStr">
        <is>
          <t>1-1</t>
        </is>
      </c>
      <c r="S13" s="30" t="n">
        <v>11.2</v>
      </c>
      <c r="T13" s="30" t="n">
        <v>38.1</v>
      </c>
      <c r="U13" s="30" t="n">
        <v>35.7</v>
      </c>
      <c r="V13" s="30" t="n">
        <v>26.1</v>
      </c>
      <c r="W13" s="30" t="inlineStr">
        <is>
          <t>2nd Half</t>
        </is>
      </c>
      <c r="X13" s="30" t="inlineStr">
        <is>
          <t>H/H</t>
        </is>
      </c>
      <c r="Y13" s="30" t="n">
        <v>19.4</v>
      </c>
      <c r="Z13" s="30" t="n">
        <v>12.1</v>
      </c>
      <c r="AA13" s="30" t="n">
        <v>61.6</v>
      </c>
      <c r="AB13" s="30" t="n">
        <v>38.4</v>
      </c>
      <c r="AC13" s="30" t="n">
        <v>10.2</v>
      </c>
      <c r="AD13" s="30" t="n">
        <v>5.4</v>
      </c>
      <c r="AE13" s="30" t="n">
        <v>55.3</v>
      </c>
      <c r="AF13" s="30" t="inlineStr"/>
      <c r="AG13" s="30" t="n">
        <v>0</v>
      </c>
      <c r="AH13" s="30" t="n">
        <v>0</v>
      </c>
      <c r="AI13" s="30" t="n">
        <v>0</v>
      </c>
      <c r="AJ13" s="30" t="n">
        <v>10000</v>
      </c>
      <c r="AK13" s="30" t="inlineStr">
        <is>
          <t>{}</t>
        </is>
      </c>
      <c r="AL13" s="30" t="n">
        <v>1</v>
      </c>
      <c r="AM13" s="30" t="n">
        <v>1</v>
      </c>
      <c r="AN13" s="30" t="n">
        <v>1</v>
      </c>
      <c r="AO13" s="30" t="n">
        <v>0.991</v>
      </c>
      <c r="AP13" s="30" t="n">
        <v>1.053</v>
      </c>
      <c r="AQ13" s="30" t="inlineStr">
        <is>
          <t>None</t>
        </is>
      </c>
      <c r="AR13" s="30" t="inlineStr">
        <is>
          <t>None</t>
        </is>
      </c>
      <c r="AS13" s="23" t="inlineStr"/>
      <c r="AT13" s="23" t="inlineStr"/>
      <c r="AU13" s="23" t="inlineStr"/>
      <c r="AV13" s="23" t="inlineStr"/>
      <c r="AW13" s="23" t="inlineStr"/>
      <c r="AX13" s="23" t="inlineStr"/>
      <c r="AY13" s="23" t="inlineStr"/>
      <c r="AZ13" s="23" t="inlineStr"/>
      <c r="BA13" s="23" t="inlineStr"/>
      <c r="BB13" s="23" t="inlineStr"/>
      <c r="BC13" s="23" t="inlineStr"/>
      <c r="BD13" s="23" t="inlineStr"/>
      <c r="BE13" s="23" t="inlineStr"/>
      <c r="BF13" s="24">
        <f>IF(AT13="","",IF(AND(H13="Home Win",AT13="H"),"✓",IF(AND(H13="Draw",AT13="D"),"✓",IF(AND(H13="Away Win",AT13="A"),"✓","✗"))))</f>
        <v/>
      </c>
      <c r="BG13" s="24">
        <f>IF(AU13="","",IF(AND(L13&gt;50,AU13&gt;2),"✓",IF(AND(L13&lt;=50,AU13&lt;=2),"✓","✗")))</f>
        <v/>
      </c>
      <c r="BH13" s="24">
        <f>IF(AV13="","",IF(AND(P13&gt;50,AV13="Y"),"✓",IF(AND(P13&lt;=50,AV13="N"),"✓","✗")))</f>
        <v/>
      </c>
      <c r="BI13" s="24">
        <f>IF(AX13="","",IF(AND(AC13&gt;9.5,AX13&gt;9),"✓",IF(AND(AC13&lt;=9.5,AX13&lt;=9),"✓","✗")))</f>
        <v/>
      </c>
      <c r="BJ13" s="24">
        <f>IF(AY13="","",IF(AND(AD13&gt;3.5,AY13&gt;3),"✓",IF(AND(AD13&lt;=3.5,AY13&lt;=3),"✓","✗")))</f>
        <v/>
      </c>
      <c r="BK13" s="25" t="inlineStr"/>
      <c r="BL13" s="24">
        <f>IFERROR((BC13/BK13-1)*100,"")</f>
        <v/>
      </c>
      <c r="BM13" s="24">
        <f>IF(BE13="",AJ13,AJ13+IF(BE13="",0,BE13))</f>
        <v/>
      </c>
      <c r="BN13" s="24">
        <f>IFERROR(SUMIF(AZ$2:AZ13,"Y",BE$2:BE13)/SUMIF(AZ$2:AZ13,"Y",BB$2:BB13)*100,0)</f>
        <v/>
      </c>
    </row>
    <row r="14">
      <c r="A14" s="30" t="n">
        <v>13</v>
      </c>
      <c r="B14" s="30" t="inlineStr">
        <is>
          <t>2026-04-14 07:32</t>
        </is>
      </c>
      <c r="C14" s="30" t="inlineStr">
        <is>
          <t>Liverpool</t>
        </is>
      </c>
      <c r="D14" s="30" t="inlineStr">
        <is>
          <t>Bournemouth</t>
        </is>
      </c>
      <c r="E14" s="30" t="n">
        <v>1.39</v>
      </c>
      <c r="F14" s="30" t="n">
        <v>0.96</v>
      </c>
      <c r="G14" s="30" t="n">
        <v>2.35</v>
      </c>
      <c r="H14" s="30" t="inlineStr">
        <is>
          <t>Home Win</t>
        </is>
      </c>
      <c r="I14" s="30" t="n">
        <v>46.4</v>
      </c>
      <c r="J14" s="30" t="n">
        <v>27.2</v>
      </c>
      <c r="K14" s="30" t="n">
        <v>26.4</v>
      </c>
      <c r="L14" s="30" t="n">
        <v>41.5</v>
      </c>
      <c r="M14" s="30" t="n">
        <v>58.5</v>
      </c>
      <c r="N14" s="30" t="n">
        <v>68.5</v>
      </c>
      <c r="O14" s="30" t="n">
        <v>21</v>
      </c>
      <c r="P14" s="30" t="n">
        <v>45.9</v>
      </c>
      <c r="Q14" s="30" t="n">
        <v>54.1</v>
      </c>
      <c r="R14" s="30" t="inlineStr">
        <is>
          <t>1-1</t>
        </is>
      </c>
      <c r="S14" s="30" t="n">
        <v>14.3</v>
      </c>
      <c r="T14" s="30" t="n">
        <v>34.1</v>
      </c>
      <c r="U14" s="30" t="n">
        <v>45.5</v>
      </c>
      <c r="V14" s="30" t="n">
        <v>20.4</v>
      </c>
      <c r="W14" s="30" t="inlineStr">
        <is>
          <t>2nd Half</t>
        </is>
      </c>
      <c r="X14" s="30" t="inlineStr">
        <is>
          <t>D/H</t>
        </is>
      </c>
      <c r="Y14" s="30" t="n">
        <v>28.8</v>
      </c>
      <c r="Z14" s="30" t="n">
        <v>15.6</v>
      </c>
      <c r="AA14" s="30" t="n">
        <v>63.7</v>
      </c>
      <c r="AB14" s="30" t="n">
        <v>36.3</v>
      </c>
      <c r="AC14" s="30" t="n">
        <v>10.9</v>
      </c>
      <c r="AD14" s="30" t="n">
        <v>3.5</v>
      </c>
      <c r="AE14" s="30" t="n">
        <v>36.6</v>
      </c>
      <c r="AF14" s="30" t="inlineStr"/>
      <c r="AG14" s="30" t="n">
        <v>0</v>
      </c>
      <c r="AH14" s="30" t="n">
        <v>0</v>
      </c>
      <c r="AI14" s="30" t="n">
        <v>0</v>
      </c>
      <c r="AJ14" s="30" t="n">
        <v>10000</v>
      </c>
      <c r="AK14" s="30" t="inlineStr">
        <is>
          <t>{}</t>
        </is>
      </c>
      <c r="AL14" s="30" t="n">
        <v>1</v>
      </c>
      <c r="AM14" s="30" t="n">
        <v>1</v>
      </c>
      <c r="AN14" s="30" t="n">
        <v>1</v>
      </c>
      <c r="AO14" s="30" t="n">
        <v>1.025</v>
      </c>
      <c r="AP14" s="30" t="n">
        <v>0.955</v>
      </c>
      <c r="AQ14" s="30" t="inlineStr">
        <is>
          <t>None</t>
        </is>
      </c>
      <c r="AR14" s="30" t="inlineStr">
        <is>
          <t>None</t>
        </is>
      </c>
      <c r="AS14" s="23" t="inlineStr"/>
      <c r="AT14" s="23" t="inlineStr"/>
      <c r="AU14" s="23" t="inlineStr"/>
      <c r="AV14" s="23" t="inlineStr"/>
      <c r="AW14" s="23" t="inlineStr"/>
      <c r="AX14" s="23" t="inlineStr"/>
      <c r="AY14" s="23" t="inlineStr"/>
      <c r="AZ14" s="23" t="inlineStr"/>
      <c r="BA14" s="23" t="inlineStr"/>
      <c r="BB14" s="23" t="inlineStr"/>
      <c r="BC14" s="23" t="inlineStr"/>
      <c r="BD14" s="23" t="inlineStr"/>
      <c r="BE14" s="23" t="inlineStr"/>
      <c r="BF14" s="24">
        <f>IF(AT14="","",IF(AND(H14="Home Win",AT14="H"),"✓",IF(AND(H14="Draw",AT14="D"),"✓",IF(AND(H14="Away Win",AT14="A"),"✓","✗"))))</f>
        <v/>
      </c>
      <c r="BG14" s="24">
        <f>IF(AU14="","",IF(AND(L14&gt;50,AU14&gt;2),"✓",IF(AND(L14&lt;=50,AU14&lt;=2),"✓","✗")))</f>
        <v/>
      </c>
      <c r="BH14" s="24">
        <f>IF(AV14="","",IF(AND(P14&gt;50,AV14="Y"),"✓",IF(AND(P14&lt;=50,AV14="N"),"✓","✗")))</f>
        <v/>
      </c>
      <c r="BI14" s="24">
        <f>IF(AX14="","",IF(AND(AC14&gt;9.5,AX14&gt;9),"✓",IF(AND(AC14&lt;=9.5,AX14&lt;=9),"✓","✗")))</f>
        <v/>
      </c>
      <c r="BJ14" s="24">
        <f>IF(AY14="","",IF(AND(AD14&gt;3.5,AY14&gt;3),"✓",IF(AND(AD14&lt;=3.5,AY14&lt;=3),"✓","✗")))</f>
        <v/>
      </c>
      <c r="BK14" s="25" t="inlineStr"/>
      <c r="BL14" s="24">
        <f>IFERROR((BC14/BK14-1)*100,"")</f>
        <v/>
      </c>
      <c r="BM14" s="24">
        <f>IF(BE14="",AJ14,AJ14+IF(BE14="",0,BE14))</f>
        <v/>
      </c>
      <c r="BN14" s="24">
        <f>IFERROR(SUMIF(AZ$2:AZ14,"Y",BE$2:BE14)/SUMIF(AZ$2:AZ14,"Y",BB$2:BB14)*100,0)</f>
        <v/>
      </c>
    </row>
    <row r="15">
      <c r="A15" s="30" t="n">
        <v>14</v>
      </c>
      <c r="B15" s="30" t="inlineStr">
        <is>
          <t>2026-04-14 07:44</t>
        </is>
      </c>
      <c r="C15" s="30" t="inlineStr">
        <is>
          <t>Southampton</t>
        </is>
      </c>
      <c r="D15" s="30" t="inlineStr">
        <is>
          <t>Arsenal</t>
        </is>
      </c>
      <c r="E15" s="30" t="n">
        <v>0.76</v>
      </c>
      <c r="F15" s="30" t="n">
        <v>3.03</v>
      </c>
      <c r="G15" s="30" t="n">
        <v>3.79</v>
      </c>
      <c r="H15" s="30" t="inlineStr">
        <is>
          <t>Away Win</t>
        </is>
      </c>
      <c r="I15" s="30" t="n">
        <v>6.5</v>
      </c>
      <c r="J15" s="30" t="n">
        <v>11.5</v>
      </c>
      <c r="K15" s="30" t="n">
        <v>82</v>
      </c>
      <c r="L15" s="30" t="n">
        <v>72.5</v>
      </c>
      <c r="M15" s="30" t="n">
        <v>27.5</v>
      </c>
      <c r="N15" s="30" t="n">
        <v>88.8</v>
      </c>
      <c r="O15" s="30" t="n">
        <v>51.3</v>
      </c>
      <c r="P15" s="30" t="n">
        <v>49.8</v>
      </c>
      <c r="Q15" s="30" t="n">
        <v>50.2</v>
      </c>
      <c r="R15" s="30" t="inlineStr">
        <is>
          <t>0-3</t>
        </is>
      </c>
      <c r="S15" s="30" t="n">
        <v>11.2</v>
      </c>
      <c r="T15" s="30" t="n">
        <v>9.699999999999999</v>
      </c>
      <c r="U15" s="30" t="n">
        <v>28.4</v>
      </c>
      <c r="V15" s="30" t="n">
        <v>61.9</v>
      </c>
      <c r="W15" s="30" t="inlineStr">
        <is>
          <t>2nd Half</t>
        </is>
      </c>
      <c r="X15" s="30" t="inlineStr">
        <is>
          <t>A/A</t>
        </is>
      </c>
      <c r="Y15" s="30" t="n">
        <v>2.8</v>
      </c>
      <c r="Z15" s="30" t="n">
        <v>45</v>
      </c>
      <c r="AA15" s="30" t="n">
        <v>7.3</v>
      </c>
      <c r="AB15" s="30" t="n">
        <v>92.7</v>
      </c>
      <c r="AC15" s="30" t="n">
        <v>9.6</v>
      </c>
      <c r="AD15" s="30" t="n">
        <v>5.7</v>
      </c>
      <c r="AE15" s="30" t="n">
        <v>58.8</v>
      </c>
      <c r="AF15" s="30" t="inlineStr"/>
      <c r="AG15" s="30" t="n">
        <v>0</v>
      </c>
      <c r="AH15" s="30" t="n">
        <v>0</v>
      </c>
      <c r="AI15" s="30" t="n">
        <v>0</v>
      </c>
      <c r="AJ15" s="30" t="n">
        <v>10000</v>
      </c>
      <c r="AK15" s="30" t="inlineStr">
        <is>
          <t>{}</t>
        </is>
      </c>
      <c r="AL15" s="30" t="n">
        <v>1</v>
      </c>
      <c r="AM15" s="30" t="n">
        <v>1</v>
      </c>
      <c r="AN15" s="30" t="n">
        <v>1</v>
      </c>
      <c r="AO15" s="30" t="n">
        <v>1.002</v>
      </c>
      <c r="AP15" s="30" t="n">
        <v>1.064</v>
      </c>
      <c r="AQ15" s="30" t="inlineStr">
        <is>
          <t>None</t>
        </is>
      </c>
      <c r="AR15" s="30" t="inlineStr">
        <is>
          <t>None</t>
        </is>
      </c>
      <c r="AS15" s="23" t="inlineStr"/>
      <c r="AT15" s="23" t="inlineStr"/>
      <c r="AU15" s="23" t="inlineStr"/>
      <c r="AV15" s="23" t="inlineStr"/>
      <c r="AW15" s="23" t="inlineStr"/>
      <c r="AX15" s="23" t="inlineStr"/>
      <c r="AY15" s="23" t="inlineStr"/>
      <c r="AZ15" s="23" t="inlineStr"/>
      <c r="BA15" s="23" t="inlineStr"/>
      <c r="BB15" s="23" t="inlineStr"/>
      <c r="BC15" s="23" t="inlineStr"/>
      <c r="BD15" s="23" t="inlineStr"/>
      <c r="BE15" s="23" t="inlineStr"/>
      <c r="BF15" s="24">
        <f>IF(AT15="","",IF(AND(H15="Home Win",AT15="H"),"✓",IF(AND(H15="Draw",AT15="D"),"✓",IF(AND(H15="Away Win",AT15="A"),"✓","✗"))))</f>
        <v/>
      </c>
      <c r="BG15" s="24">
        <f>IF(AU15="","",IF(AND(L15&gt;50,AU15&gt;2),"✓",IF(AND(L15&lt;=50,AU15&lt;=2),"✓","✗")))</f>
        <v/>
      </c>
      <c r="BH15" s="24">
        <f>IF(AV15="","",IF(AND(P15&gt;50,AV15="Y"),"✓",IF(AND(P15&lt;=50,AV15="N"),"✓","✗")))</f>
        <v/>
      </c>
      <c r="BI15" s="24">
        <f>IF(AX15="","",IF(AND(AC15&gt;9.5,AX15&gt;9),"✓",IF(AND(AC15&lt;=9.5,AX15&lt;=9),"✓","✗")))</f>
        <v/>
      </c>
      <c r="BJ15" s="24">
        <f>IF(AY15="","",IF(AND(AD15&gt;3.5,AY15&gt;3),"✓",IF(AND(AD15&lt;=3.5,AY15&lt;=3),"✓","✗")))</f>
        <v/>
      </c>
      <c r="BK15" s="25" t="inlineStr"/>
      <c r="BL15" s="24">
        <f>IFERROR((BC15/BK15-1)*100,"")</f>
        <v/>
      </c>
      <c r="BM15" s="24">
        <f>IF(BE15="",AJ15,AJ15+IF(BE15="",0,BE15))</f>
        <v/>
      </c>
      <c r="BN15" s="24">
        <f>IFERROR(SUMIF(AZ$2:AZ15,"Y",BE$2:BE15)/SUMIF(AZ$2:AZ15,"Y",BB$2:BB15)*100,0)</f>
        <v/>
      </c>
    </row>
    <row r="16">
      <c r="A16" s="30" t="n">
        <v>15</v>
      </c>
      <c r="B16" s="30" t="inlineStr">
        <is>
          <t>2026-04-14 07:56</t>
        </is>
      </c>
      <c r="C16" s="30" t="inlineStr">
        <is>
          <t>Fulham</t>
        </is>
      </c>
      <c r="D16" s="30" t="inlineStr">
        <is>
          <t>Manchester City</t>
        </is>
      </c>
      <c r="E16" s="30" t="n">
        <v>1.29</v>
      </c>
      <c r="F16" s="30" t="n">
        <v>1.07</v>
      </c>
      <c r="G16" s="30" t="n">
        <v>2.36</v>
      </c>
      <c r="H16" s="30" t="inlineStr">
        <is>
          <t>Home Win</t>
        </is>
      </c>
      <c r="I16" s="30" t="n">
        <v>41.3</v>
      </c>
      <c r="J16" s="30" t="n">
        <v>28</v>
      </c>
      <c r="K16" s="30" t="n">
        <v>30.7</v>
      </c>
      <c r="L16" s="30" t="n">
        <v>42.3</v>
      </c>
      <c r="M16" s="30" t="n">
        <v>57.7</v>
      </c>
      <c r="N16" s="30" t="n">
        <v>67.7</v>
      </c>
      <c r="O16" s="30" t="n">
        <v>21.6</v>
      </c>
      <c r="P16" s="30" t="n">
        <v>47.7</v>
      </c>
      <c r="Q16" s="30" t="n">
        <v>52.3</v>
      </c>
      <c r="R16" s="30" t="inlineStr">
        <is>
          <t>1-1</t>
        </is>
      </c>
      <c r="S16" s="30" t="n">
        <v>14.1</v>
      </c>
      <c r="T16" s="30" t="n">
        <v>30.3</v>
      </c>
      <c r="U16" s="30" t="n">
        <v>45.7</v>
      </c>
      <c r="V16" s="30" t="n">
        <v>24</v>
      </c>
      <c r="W16" s="30" t="inlineStr">
        <is>
          <t>2nd Half</t>
        </is>
      </c>
      <c r="X16" s="30" t="inlineStr">
        <is>
          <t>D/H</t>
        </is>
      </c>
      <c r="Y16" s="30" t="n">
        <v>24.1</v>
      </c>
      <c r="Z16" s="30" t="n">
        <v>18.1</v>
      </c>
      <c r="AA16" s="30" t="n">
        <v>57.3</v>
      </c>
      <c r="AB16" s="30" t="n">
        <v>42.7</v>
      </c>
      <c r="AC16" s="30" t="n">
        <v>10.1</v>
      </c>
      <c r="AD16" s="30" t="n">
        <v>3.8</v>
      </c>
      <c r="AE16" s="30" t="n">
        <v>40.1</v>
      </c>
      <c r="AF16" s="30" t="inlineStr"/>
      <c r="AG16" s="30" t="n">
        <v>0</v>
      </c>
      <c r="AH16" s="30" t="n">
        <v>0</v>
      </c>
      <c r="AI16" s="30" t="n">
        <v>0</v>
      </c>
      <c r="AJ16" s="30" t="n">
        <v>10000</v>
      </c>
      <c r="AK16" s="30" t="inlineStr">
        <is>
          <t>{}</t>
        </is>
      </c>
      <c r="AL16" s="30" t="n">
        <v>1</v>
      </c>
      <c r="AM16" s="30" t="n">
        <v>1</v>
      </c>
      <c r="AN16" s="30" t="n">
        <v>1</v>
      </c>
      <c r="AO16" s="30" t="n">
        <v>0.953</v>
      </c>
      <c r="AP16" s="30" t="n">
        <v>1.073</v>
      </c>
      <c r="AQ16" s="30" t="inlineStr">
        <is>
          <t>None</t>
        </is>
      </c>
      <c r="AR16" s="30" t="inlineStr">
        <is>
          <t>None</t>
        </is>
      </c>
      <c r="AS16" s="23" t="inlineStr"/>
      <c r="AT16" s="23" t="inlineStr"/>
      <c r="AU16" s="23" t="inlineStr"/>
      <c r="AV16" s="23" t="inlineStr"/>
      <c r="AW16" s="23" t="inlineStr"/>
      <c r="AX16" s="23" t="inlineStr"/>
      <c r="AY16" s="23" t="inlineStr"/>
      <c r="AZ16" s="23" t="inlineStr"/>
      <c r="BA16" s="23" t="inlineStr"/>
      <c r="BB16" s="23" t="inlineStr"/>
      <c r="BC16" s="23" t="inlineStr"/>
      <c r="BD16" s="23" t="inlineStr"/>
      <c r="BE16" s="23" t="inlineStr"/>
      <c r="BF16" s="24">
        <f>IF(AT16="","",IF(AND(H16="Home Win",AT16="H"),"✓",IF(AND(H16="Draw",AT16="D"),"✓",IF(AND(H16="Away Win",AT16="A"),"✓","✗"))))</f>
        <v/>
      </c>
      <c r="BG16" s="24">
        <f>IF(AU16="","",IF(AND(L16&gt;50,AU16&gt;2),"✓",IF(AND(L16&lt;=50,AU16&lt;=2),"✓","✗")))</f>
        <v/>
      </c>
      <c r="BH16" s="24">
        <f>IF(AV16="","",IF(AND(P16&gt;50,AV16="Y"),"✓",IF(AND(P16&lt;=50,AV16="N"),"✓","✗")))</f>
        <v/>
      </c>
      <c r="BI16" s="24">
        <f>IF(AX16="","",IF(AND(AC16&gt;9.5,AX16&gt;9),"✓",IF(AND(AC16&lt;=9.5,AX16&lt;=9),"✓","✗")))</f>
        <v/>
      </c>
      <c r="BJ16" s="24">
        <f>IF(AY16="","",IF(AND(AD16&gt;3.5,AY16&gt;3),"✓",IF(AND(AD16&lt;=3.5,AY16&lt;=3),"✓","✗")))</f>
        <v/>
      </c>
      <c r="BK16" s="25" t="inlineStr"/>
      <c r="BL16" s="24">
        <f>IFERROR((BC16/BK16-1)*100,"")</f>
        <v/>
      </c>
      <c r="BM16" s="24">
        <f>IF(BE16="",AJ16,AJ16+IF(BE16="",0,BE16))</f>
        <v/>
      </c>
      <c r="BN16" s="24">
        <f>IFERROR(SUMIF(AZ$2:AZ16,"Y",BE$2:BE16)/SUMIF(AZ$2:AZ16,"Y",BB$2:BB16)*100,0)</f>
        <v/>
      </c>
    </row>
    <row r="17">
      <c r="A17" s="31" t="n">
        <v>16</v>
      </c>
      <c r="B17" s="31" t="inlineStr">
        <is>
          <t>2026-04-14 07:57</t>
        </is>
      </c>
      <c r="C17" s="31" t="inlineStr">
        <is>
          <t>Burnley</t>
        </is>
      </c>
      <c r="D17" s="31" t="inlineStr">
        <is>
          <t>Chelsea</t>
        </is>
      </c>
      <c r="E17" s="31" t="n">
        <v>1.65</v>
      </c>
      <c r="F17" s="31" t="n">
        <v>1.28</v>
      </c>
      <c r="G17" s="31" t="n">
        <v>2.92</v>
      </c>
      <c r="H17" s="31" t="inlineStr">
        <is>
          <t>Home Win</t>
        </is>
      </c>
      <c r="I17" s="31" t="n">
        <v>44.3</v>
      </c>
      <c r="J17" s="31" t="n">
        <v>23.7</v>
      </c>
      <c r="K17" s="31" t="n">
        <v>32</v>
      </c>
      <c r="L17" s="31" t="n">
        <v>50</v>
      </c>
      <c r="M17" s="31" t="n">
        <v>50</v>
      </c>
      <c r="N17" s="31" t="n">
        <v>70.7</v>
      </c>
      <c r="O17" s="31" t="n">
        <v>33.1</v>
      </c>
      <c r="P17" s="31" t="n">
        <v>45.6</v>
      </c>
      <c r="Q17" s="31" t="n">
        <v>54.4</v>
      </c>
      <c r="R17" s="31" t="inlineStr">
        <is>
          <t>0-0</t>
        </is>
      </c>
      <c r="S17" s="31" t="n">
        <v>12.6</v>
      </c>
      <c r="T17" s="31" t="n">
        <v>34.4</v>
      </c>
      <c r="U17" s="31" t="n">
        <v>40.5</v>
      </c>
      <c r="V17" s="31" t="n">
        <v>25.1</v>
      </c>
      <c r="W17" s="31" t="inlineStr">
        <is>
          <t>2nd Half</t>
        </is>
      </c>
      <c r="X17" s="31" t="inlineStr">
        <is>
          <t>H/H</t>
        </is>
      </c>
      <c r="Y17" s="31" t="n">
        <v>25.9</v>
      </c>
      <c r="Z17" s="31" t="n">
        <v>18.4</v>
      </c>
      <c r="AA17" s="31" t="n">
        <v>58</v>
      </c>
      <c r="AB17" s="31" t="n">
        <v>42</v>
      </c>
      <c r="AC17" s="31" t="n">
        <v>10.2</v>
      </c>
      <c r="AD17" s="31" t="n">
        <v>4.7</v>
      </c>
      <c r="AE17" s="31" t="n">
        <v>48.8</v>
      </c>
      <c r="AF17" s="31" t="inlineStr"/>
      <c r="AG17" s="31" t="n">
        <v>0</v>
      </c>
      <c r="AH17" s="31" t="n">
        <v>0</v>
      </c>
      <c r="AI17" s="31" t="n">
        <v>0</v>
      </c>
      <c r="AJ17" s="31" t="n">
        <v>10000</v>
      </c>
      <c r="AK17" s="31" t="inlineStr">
        <is>
          <t>{}</t>
        </is>
      </c>
      <c r="AL17" s="31" t="n">
        <v>1</v>
      </c>
      <c r="AM17" s="31" t="n">
        <v>1</v>
      </c>
      <c r="AN17" s="31" t="n">
        <v>1</v>
      </c>
      <c r="AO17" s="31" t="n">
        <v>0.984</v>
      </c>
      <c r="AP17" s="31" t="n">
        <v>1.04</v>
      </c>
      <c r="AQ17" s="31" t="inlineStr">
        <is>
          <t>None</t>
        </is>
      </c>
      <c r="AR17" s="31" t="inlineStr">
        <is>
          <t>None</t>
        </is>
      </c>
      <c r="AS17" s="23" t="inlineStr"/>
      <c r="AT17" s="23" t="inlineStr"/>
      <c r="AU17" s="23" t="inlineStr"/>
      <c r="AV17" s="23" t="inlineStr"/>
      <c r="AW17" s="23" t="inlineStr"/>
      <c r="AX17" s="23" t="inlineStr"/>
      <c r="AY17" s="23" t="inlineStr"/>
      <c r="AZ17" s="23" t="inlineStr"/>
      <c r="BA17" s="23" t="inlineStr"/>
      <c r="BB17" s="23" t="inlineStr"/>
      <c r="BC17" s="23" t="inlineStr"/>
      <c r="BD17" s="23" t="inlineStr"/>
      <c r="BE17" s="23" t="inlineStr"/>
      <c r="BF17" s="24">
        <f>IF(AT17="","",IF(AND(H17="Home Win",AT17="H"),"✓",IF(AND(H17="Draw",AT17="D"),"✓",IF(AND(H17="Away Win",AT17="A"),"✓","✗"))))</f>
        <v/>
      </c>
      <c r="BG17" s="24">
        <f>IF(AU17="","",IF(AND(L17&gt;50,AU17&gt;2),"✓",IF(AND(L17&lt;=50,AU17&lt;=2),"✓","✗")))</f>
        <v/>
      </c>
      <c r="BH17" s="24">
        <f>IF(AV17="","",IF(AND(P17&gt;50,AV17="Y"),"✓",IF(AND(P17&lt;=50,AV17="N"),"✓","✗")))</f>
        <v/>
      </c>
      <c r="BI17" s="24">
        <f>IF(AX17="","",IF(AND(AC17&gt;9.5,AX17&gt;9),"✓",IF(AND(AC17&lt;=9.5,AX17&lt;=9),"✓","✗")))</f>
        <v/>
      </c>
      <c r="BJ17" s="24">
        <f>IF(AY17="","",IF(AND(AD17&gt;3.5,AY17&gt;3),"✓",IF(AND(AD17&lt;=3.5,AY17&lt;=3),"✓","✗")))</f>
        <v/>
      </c>
      <c r="BK17" s="25" t="inlineStr"/>
      <c r="BL17" s="24">
        <f>IFERROR((BC17/BK17-1)*100,"")</f>
        <v/>
      </c>
      <c r="BM17" s="24">
        <f>IF(BE17="",AJ17,AJ17+IF(BE17="",0,BE17))</f>
        <v/>
      </c>
      <c r="BN17" s="24">
        <f>IFERROR(SUMIF(AZ$2:AZ17,"Y",BE$2:BE17)/SUMIF(AZ$2:AZ17,"Y",BB$2:BB17)*100,0)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B19" sqref="B19"/>
    </sheetView>
  </sheetViews>
  <sheetFormatPr baseColWidth="8" defaultRowHeight="14.5"/>
  <cols>
    <col width="26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s="5" t="inlineStr">
        <is>
          <t>Total Predictions</t>
        </is>
      </c>
      <c r="B2" s="6">
        <f>COUNTA(Predictions!B2:B9999)</f>
        <v/>
      </c>
    </row>
    <row r="3">
      <c r="A3" s="5" t="inlineStr">
        <is>
          <t>Bets Placed</t>
        </is>
      </c>
      <c r="B3" s="6">
        <f>COUNTIF(Predictions!AZ2:AZ9999,"Y")</f>
        <v/>
      </c>
    </row>
    <row r="4">
      <c r="A4" s="5" t="inlineStr">
        <is>
          <t>Bets Won</t>
        </is>
      </c>
      <c r="B4" s="6">
        <f>COUNTIF(Predictions!BD2:BD9999,"W")</f>
        <v/>
      </c>
    </row>
    <row r="5">
      <c r="A5" s="5" t="inlineStr">
        <is>
          <t>Bets Lost</t>
        </is>
      </c>
      <c r="B5" s="6">
        <f>COUNTIF(Predictions!BD2:BD9999,"L")</f>
        <v/>
      </c>
    </row>
    <row r="6">
      <c r="A6" s="5" t="inlineStr">
        <is>
          <t>Strike Rate %</t>
        </is>
      </c>
      <c r="B6" s="6">
        <f>IFERROR(B4/B3*100,0)</f>
        <v/>
      </c>
    </row>
    <row r="7">
      <c r="A7" s="5" t="inlineStr">
        <is>
          <t>Total Staked (RWF)</t>
        </is>
      </c>
      <c r="B7" s="6">
        <f>IFERROR(SUMIF(Predictions!AZ2:AZ9999,"Y",Predictions!BB2:BB9999),0)</f>
        <v/>
      </c>
    </row>
    <row r="8">
      <c r="A8" s="5" t="inlineStr">
        <is>
          <t>Total Return (RWF)</t>
        </is>
      </c>
      <c r="B8" s="6">
        <f>IFERROR(SUMIF(Predictions!AZ2:AZ9999,"Y",Predictions!BE2:BE9999)+B7,0)</f>
        <v/>
      </c>
    </row>
    <row r="9">
      <c r="A9" s="5" t="inlineStr">
        <is>
          <t>Net Profit (RWF)</t>
        </is>
      </c>
      <c r="B9" s="6">
        <f>B8-B7</f>
        <v/>
      </c>
    </row>
    <row r="10">
      <c r="A10" s="5" t="inlineStr">
        <is>
          <t>ROI %</t>
        </is>
      </c>
      <c r="B10" s="6">
        <f>IFERROR(B9/B7*100,0)</f>
        <v/>
      </c>
    </row>
    <row r="11">
      <c r="A11" s="5" t="inlineStr">
        <is>
          <t>1X2 Accuracy %</t>
        </is>
      </c>
      <c r="B11" s="6">
        <f>IFERROR(COUNTIF(Predictions!BF2:BF9999,"✓")/COUNTA(Predictions!BF2:BF9999)*100,0)</f>
        <v/>
      </c>
    </row>
    <row r="12">
      <c r="A12" s="5" t="inlineStr">
        <is>
          <t>O/U 2.5 Accuracy %</t>
        </is>
      </c>
      <c r="B12" s="6">
        <f>IFERROR(COUNTIF(Predictions!BG2:BG9999,"✓")/COUNTA(Predictions!BG2:BG9999)*100,0)</f>
        <v/>
      </c>
    </row>
    <row r="13">
      <c r="A13" s="5" t="inlineStr">
        <is>
          <t>BTTS Accuracy %</t>
        </is>
      </c>
      <c r="B13" s="6">
        <f>IFERROR(COUNTIF(Predictions!BH2:BH9999,"✓")/COUNTA(Predictions!BH2:BH9999)*100,0)</f>
        <v/>
      </c>
    </row>
    <row r="14">
      <c r="A14" s="5" t="inlineStr">
        <is>
          <t>Corners Accuracy %</t>
        </is>
      </c>
      <c r="B14" s="6">
        <f>IFERROR(COUNTIF(Predictions!BI2:BI9999,"✓")/COUNTA(Predictions!BI2:BI9999)*100,0)</f>
        <v/>
      </c>
    </row>
    <row r="15">
      <c r="A15" s="5" t="inlineStr">
        <is>
          <t>Cards Accuracy %</t>
        </is>
      </c>
      <c r="B15" s="6">
        <f>IFERROR(COUNTIF(Predictions!BJ2:BJ9999,"✓")/COUNTA(Predictions!BJ2:BJ9999)*100,0)</f>
        <v/>
      </c>
    </row>
    <row r="16">
      <c r="A16" s="5" t="inlineStr">
        <is>
          <t>Avg CLV % (bets)</t>
        </is>
      </c>
      <c r="B16" s="6">
        <f>IFERROR(AVERAGEIF(Predictions!AZ2:AZ9999,"Y",Predictions!BL2:BL9999),0)</f>
        <v/>
      </c>
    </row>
    <row r="17">
      <c r="A17" s="5" t="inlineStr">
        <is>
          <t>Avg Edge % (bets)</t>
        </is>
      </c>
      <c r="B17" s="6">
        <f>IFERROR(AVERAGEIF(Predictions!AZ2:AZ9999,"Y",Predictions!AH2:AH9999),0)</f>
        <v/>
      </c>
    </row>
    <row r="18">
      <c r="A18" s="5" t="inlineStr">
        <is>
          <t>Avg EV (bets)</t>
        </is>
      </c>
      <c r="B18" s="6">
        <f>IFERROR(AVERAGEIF(Predictions!AZ2:AZ9999,"Y",Predictions!AI2:AI9999),0)</f>
        <v/>
      </c>
    </row>
    <row r="19">
      <c r="A19" s="5" t="inlineStr">
        <is>
          <t>Current Bankroll</t>
        </is>
      </c>
      <c r="B19" s="6">
        <f>IFERROR(INDEX(Predictions!BM2:BM9999,MATCH(9E+307,Predictions!BM2:BM9999)),0)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4.5"/>
  <cols>
    <col width="35" customWidth="1" min="1" max="1"/>
    <col width="50" customWidth="1" min="2" max="2"/>
  </cols>
  <sheetData>
    <row r="1" ht="18" customHeight="1">
      <c r="A1" s="7" t="inlineStr">
        <is>
          <t>PREDICTIONS TRACKER — GUIDE</t>
        </is>
      </c>
    </row>
    <row r="3">
      <c r="A3" s="8" t="inlineStr">
        <is>
          <t>COLUMN COLOR GUIDE</t>
        </is>
      </c>
      <c r="B3" s="9" t="n"/>
    </row>
    <row r="4">
      <c r="A4" s="9" t="inlineStr">
        <is>
          <t>Dark Blue headers</t>
        </is>
      </c>
      <c r="B4" s="9" t="inlineStr">
        <is>
          <t>Auto-filled by prediction script</t>
        </is>
      </c>
    </row>
    <row r="5">
      <c r="A5" s="9" t="inlineStr">
        <is>
          <t>Dark Orange headers</t>
        </is>
      </c>
      <c r="B5" s="9" t="inlineStr">
        <is>
          <t>You fill in manually after the match</t>
        </is>
      </c>
    </row>
    <row r="6">
      <c r="A6" s="9" t="inlineStr">
        <is>
          <t>Dark Green headers</t>
        </is>
      </c>
      <c r="B6" s="9" t="inlineStr">
        <is>
          <t>Calculated automatically by Excel formulas</t>
        </is>
      </c>
    </row>
    <row r="7">
      <c r="A7" s="9" t="n"/>
      <c r="B7" s="9" t="n"/>
    </row>
    <row r="8">
      <c r="A8" s="8" t="inlineStr">
        <is>
          <t>MANUAL COLUMN GUIDE</t>
        </is>
      </c>
      <c r="B8" s="9" t="n"/>
    </row>
    <row r="9">
      <c r="A9" s="9" t="inlineStr">
        <is>
          <t>ACTUAL Score</t>
        </is>
      </c>
      <c r="B9" s="9" t="inlineStr">
        <is>
          <t>e.g. 2-1</t>
        </is>
      </c>
    </row>
    <row r="10">
      <c r="A10" s="9" t="inlineStr">
        <is>
          <t>ACTUAL 1X2</t>
        </is>
      </c>
      <c r="B10" s="9" t="inlineStr">
        <is>
          <t>H = Home win, D = Draw, A = Away win</t>
        </is>
      </c>
    </row>
    <row r="11">
      <c r="A11" s="9" t="inlineStr">
        <is>
          <t>ACTUAL Goals</t>
        </is>
      </c>
      <c r="B11" s="9" t="inlineStr">
        <is>
          <t>Total goals scored</t>
        </is>
      </c>
    </row>
    <row r="12">
      <c r="A12" s="9" t="inlineStr">
        <is>
          <t>ACTUAL BTTS</t>
        </is>
      </c>
      <c r="B12" s="9" t="inlineStr">
        <is>
          <t>Y if both teams scored, N if not</t>
        </is>
      </c>
    </row>
    <row r="13">
      <c r="A13" s="9" t="inlineStr">
        <is>
          <t>ACTUAL HT Score</t>
        </is>
      </c>
      <c r="B13" s="9" t="inlineStr">
        <is>
          <t>e.g. 1-0</t>
        </is>
      </c>
    </row>
    <row r="14">
      <c r="A14" s="9" t="inlineStr">
        <is>
          <t>Bet Placed?</t>
        </is>
      </c>
      <c r="B14" s="9" t="inlineStr">
        <is>
          <t>Y or N</t>
        </is>
      </c>
    </row>
    <row r="15">
      <c r="A15" s="9" t="inlineStr">
        <is>
          <t>Market Bet On</t>
        </is>
      </c>
      <c r="B15" s="9" t="inlineStr">
        <is>
          <t>e.g. over_2.5, home_win, btts_yes</t>
        </is>
      </c>
    </row>
    <row r="16">
      <c r="A16" s="9" t="inlineStr">
        <is>
          <t>Stake Placed (RWF)</t>
        </is>
      </c>
      <c r="B16" s="9" t="inlineStr">
        <is>
          <t>Exact amount you staked</t>
        </is>
      </c>
    </row>
    <row r="17">
      <c r="A17" s="9" t="inlineStr">
        <is>
          <t>Odds Taken</t>
        </is>
      </c>
      <c r="B17" s="9" t="inlineStr">
        <is>
          <t>Decimal odds you got</t>
        </is>
      </c>
    </row>
    <row r="18">
      <c r="A18" s="9" t="inlineStr">
        <is>
          <t>Result (W/L/P)</t>
        </is>
      </c>
      <c r="B18" s="9" t="inlineStr">
        <is>
          <t>W=Win, L=Loss, P=Push/Void</t>
        </is>
      </c>
    </row>
    <row r="19">
      <c r="A19" s="9" t="inlineStr">
        <is>
          <t>Profit/Loss (RWF)</t>
        </is>
      </c>
      <c r="B19" s="9" t="inlineStr">
        <is>
          <t>Positive if won, negative if lost</t>
        </is>
      </c>
    </row>
    <row r="20">
      <c r="A20" s="9" t="n"/>
      <c r="B20" s="9" t="n"/>
    </row>
    <row r="21">
      <c r="A21" s="8" t="inlineStr">
        <is>
          <t>POSITION CODES (for lineup entry)</t>
        </is>
      </c>
      <c r="B21" s="9" t="n"/>
    </row>
    <row r="22">
      <c r="A22" s="9" t="inlineStr">
        <is>
          <t>GK</t>
        </is>
      </c>
      <c r="B22" s="9" t="inlineStr">
        <is>
          <t>Goalkeeper</t>
        </is>
      </c>
    </row>
    <row r="23">
      <c r="A23" s="9" t="inlineStr">
        <is>
          <t>DF</t>
        </is>
      </c>
      <c r="B23" s="9" t="inlineStr">
        <is>
          <t>Defender</t>
        </is>
      </c>
    </row>
    <row r="24">
      <c r="A24" s="9" t="inlineStr">
        <is>
          <t>MF</t>
        </is>
      </c>
      <c r="B24" s="9" t="inlineStr">
        <is>
          <t>Midfielder</t>
        </is>
      </c>
    </row>
    <row r="25">
      <c r="A25" s="9" t="inlineStr">
        <is>
          <t>FW</t>
        </is>
      </c>
      <c r="B25" s="9" t="inlineStr">
        <is>
          <t>Forward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2026-04-12T15:16:16Z</dcterms:created>
  <dcterms:modified xmlns:dcterms="http://purl.org/dc/terms/" xmlns:xsi="http://www.w3.org/2001/XMLSchema-instance" xsi:type="dcterms:W3CDTF">2026-04-14T05:57:10Z</dcterms:modified>
  <cp:lastModifiedBy>siklevis7</cp:lastModifiedBy>
</cp:coreProperties>
</file>